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rmMoneyRequest" sheetId="2" state="visible" r:id="rId2"/>
    <sheet xmlns:r="http://schemas.openxmlformats.org/officeDocument/2006/relationships" name="frmExpense" sheetId="3" state="visible" r:id="rId3"/>
    <sheet xmlns:r="http://schemas.openxmlformats.org/officeDocument/2006/relationships" name="frmFoodAllowance" sheetId="4" state="visible" r:id="rId4"/>
    <sheet xmlns:r="http://schemas.openxmlformats.org/officeDocument/2006/relationships" name="frmOvertime" sheetId="5" state="visible" r:id="rId5"/>
    <sheet xmlns:r="http://schemas.openxmlformats.org/officeDocument/2006/relationships" name="frmPORequest" sheetId="6" state="visible" r:id="rId6"/>
    <sheet xmlns:r="http://schemas.openxmlformats.org/officeDocument/2006/relationships" name="frmField_Portal" sheetId="7" state="visible" r:id="rId7"/>
    <sheet xmlns:r="http://schemas.openxmlformats.org/officeDocument/2006/relationships" name="frmDepartments" sheetId="8" state="visible" r:id="rId8"/>
    <sheet xmlns:r="http://schemas.openxmlformats.org/officeDocument/2006/relationships" name="frmEmployees" sheetId="9" state="visible" r:id="rId9"/>
    <sheet xmlns:r="http://schemas.openxmlformats.org/officeDocument/2006/relationships" name="frmContractors" sheetId="10" state="visible" r:id="rId10"/>
    <sheet xmlns:r="http://schemas.openxmlformats.org/officeDocument/2006/relationships" name="frmProjects" sheetId="11" state="visible" r:id="rId11"/>
    <sheet xmlns:r="http://schemas.openxmlformats.org/officeDocument/2006/relationships" name="frmSiteMaster" sheetId="12" state="visible" r:id="rId12"/>
    <sheet xmlns:r="http://schemas.openxmlformats.org/officeDocument/2006/relationships" name="frmVehicles" sheetId="13" state="visible" r:id="rId13"/>
    <sheet xmlns:r="http://schemas.openxmlformats.org/officeDocument/2006/relationships" name="frmCustomers" sheetId="14" state="visible" r:id="rId14"/>
    <sheet xmlns:r="http://schemas.openxmlformats.org/officeDocument/2006/relationships" name="frmLOI" sheetId="15" state="visible" r:id="rId15"/>
    <sheet xmlns:r="http://schemas.openxmlformats.org/officeDocument/2006/relationships" name="frmPO_Admin" sheetId="16" state="visible" r:id="rId16"/>
    <sheet xmlns:r="http://schemas.openxmlformats.org/officeDocument/2006/relationships" name="frmMR_Admin" sheetId="17" state="visible" r:id="rId17"/>
    <sheet xmlns:r="http://schemas.openxmlformats.org/officeDocument/2006/relationships" name="frmSiteAssignment" sheetId="18" state="visible" r:id="rId18"/>
    <sheet xmlns:r="http://schemas.openxmlformats.org/officeDocument/2006/relationships" name="frmPayroll" sheetId="19" state="visible" r:id="rId19"/>
    <sheet xmlns:r="http://schemas.openxmlformats.org/officeDocument/2006/relationships" name="frmVacations" sheetId="20" state="visible" r:id="rId20"/>
    <sheet xmlns:r="http://schemas.openxmlformats.org/officeDocument/2006/relationships" name="frmLoans" sheetId="21" state="visible" r:id="rId21"/>
    <sheet xmlns:r="http://schemas.openxmlformats.org/officeDocument/2006/relationships" name="frmStaffActions" sheetId="22" state="visible" r:id="rId22"/>
    <sheet xmlns:r="http://schemas.openxmlformats.org/officeDocument/2006/relationships" name="frmInvoices" sheetId="23" state="visible" r:id="rId23"/>
    <sheet xmlns:r="http://schemas.openxmlformats.org/officeDocument/2006/relationships" name="frmPayments" sheetId="24" state="visible" r:id="rId24"/>
    <sheet xmlns:r="http://schemas.openxmlformats.org/officeDocument/2006/relationships" name="frmReceipts" sheetId="25" state="visible" r:id="rId25"/>
    <sheet xmlns:r="http://schemas.openxmlformats.org/officeDocument/2006/relationships" name="frmJournalVoucher" sheetId="26" state="visible" r:id="rId26"/>
    <sheet xmlns:r="http://schemas.openxmlformats.org/officeDocument/2006/relationships" name="frmCheques" sheetId="27" state="visible" r:id="rId27"/>
    <sheet xmlns:r="http://schemas.openxmlformats.org/officeDocument/2006/relationships" name="frmFixedAssets" sheetId="28" state="visible" r:id="rId28"/>
    <sheet xmlns:r="http://schemas.openxmlformats.org/officeDocument/2006/relationships" name="frmBudget" sheetId="29" state="visible" r:id="rId29"/>
    <sheet xmlns:r="http://schemas.openxmlformats.org/officeDocument/2006/relationships" name="frmPettyCash" sheetId="30" state="visible" r:id="rId30"/>
    <sheet xmlns:r="http://schemas.openxmlformats.org/officeDocument/2006/relationships" name="frmUserManagement" sheetId="31" state="visible" r:id="rId31"/>
    <sheet xmlns:r="http://schemas.openxmlformats.org/officeDocument/2006/relationships" name="frmSettings" sheetId="32" state="visible" r:id="rId32"/>
    <sheet xmlns:r="http://schemas.openxmlformats.org/officeDocument/2006/relationships" name="rpt_Filters" sheetId="33" state="visible" r:id="rId33"/>
    <sheet xmlns:r="http://schemas.openxmlformats.org/officeDocument/2006/relationships" name="cboSources" sheetId="34" state="visible" r:id="rId34"/>
    <sheet xmlns:r="http://schemas.openxmlformats.org/officeDocument/2006/relationships" name="DB_Tabl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1A2E4A"/>
      <sz val="15"/>
    </font>
    <font>
      <name val="Arial"/>
      <i val="1"/>
      <color rgb="005F5E5A"/>
      <sz val="10"/>
    </font>
    <font>
      <name val="Arial"/>
      <b val="1"/>
      <color rgb="00FFFFFF"/>
      <sz val="9"/>
    </font>
    <font>
      <name val="Arial"/>
      <b val="1"/>
      <color rgb="000C447C"/>
      <sz val="9"/>
    </font>
    <font>
      <name val="Arial"/>
      <sz val="9"/>
    </font>
    <font>
      <name val="Arial"/>
      <b val="1"/>
      <color rgb="001565C0"/>
      <sz val="12"/>
    </font>
    <font>
      <name val="Arial"/>
      <i val="1"/>
      <color rgb="005F5E5A"/>
      <sz val="9"/>
    </font>
    <font>
      <name val="Arial"/>
      <b val="1"/>
      <color rgb="000D47A1"/>
      <sz val="9"/>
    </font>
    <font>
      <name val="Arial"/>
      <b val="1"/>
      <sz val="9"/>
    </font>
    <font>
      <name val="Arial"/>
      <color rgb="00633806"/>
      <sz val="9"/>
    </font>
    <font>
      <name val="Arial"/>
      <b val="1"/>
      <color rgb="0000695C"/>
      <sz val="12"/>
    </font>
    <font>
      <name val="Arial"/>
      <b val="1"/>
      <color rgb="00004D40"/>
      <sz val="9"/>
    </font>
    <font>
      <name val="Arial"/>
      <b val="1"/>
      <color rgb="004A148C"/>
      <sz val="12"/>
    </font>
    <font>
      <name val="Arial"/>
      <b val="1"/>
      <color rgb="00311B92"/>
      <sz val="9"/>
    </font>
    <font>
      <name val="Arial"/>
      <b val="1"/>
      <color rgb="005A32D4"/>
      <sz val="12"/>
    </font>
    <font>
      <name val="Arial"/>
      <b val="1"/>
      <color rgb="00B71C1C"/>
      <sz val="12"/>
    </font>
    <font>
      <name val="Arial"/>
      <b val="1"/>
      <color rgb="007F0000"/>
      <sz val="9"/>
    </font>
    <font>
      <name val="Arial"/>
      <b val="1"/>
      <color rgb="001B5E20"/>
      <sz val="12"/>
    </font>
    <font>
      <name val="Arial"/>
      <b val="1"/>
      <color rgb="00145A14"/>
      <sz val="9"/>
    </font>
    <font>
      <name val="Arial"/>
      <b val="1"/>
      <color rgb="0037474F"/>
      <sz val="12"/>
    </font>
    <font>
      <name val="Arial"/>
      <b val="1"/>
      <color rgb="001C313A"/>
      <sz val="9"/>
    </font>
    <font>
      <name val="Arial"/>
      <b val="1"/>
      <color rgb="002E0066"/>
      <sz val="9"/>
    </font>
    <font>
      <name val="Arial"/>
      <b val="1"/>
      <color rgb="004E342E"/>
      <sz val="12"/>
    </font>
  </fonts>
  <fills count="30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1565C0"/>
      </patternFill>
    </fill>
    <fill>
      <patternFill patternType="solid">
        <fgColor rgb="00F8FAFD"/>
      </patternFill>
    </fill>
    <fill>
      <patternFill patternType="solid">
        <fgColor rgb="00FFFFFF"/>
      </patternFill>
    </fill>
    <fill>
      <patternFill patternType="solid">
        <fgColor rgb="0000695C"/>
      </patternFill>
    </fill>
    <fill>
      <patternFill patternType="solid">
        <fgColor rgb="004A148C"/>
      </patternFill>
    </fill>
    <fill>
      <patternFill patternType="solid">
        <fgColor rgb="005A32D4"/>
      </patternFill>
    </fill>
    <fill>
      <patternFill patternType="solid">
        <fgColor rgb="00B71C1C"/>
      </patternFill>
    </fill>
    <fill>
      <patternFill patternType="solid">
        <fgColor rgb="0001579B"/>
      </patternFill>
    </fill>
    <fill>
      <patternFill patternType="solid">
        <fgColor rgb="0037474F"/>
      </patternFill>
    </fill>
    <fill>
      <patternFill patternType="solid">
        <fgColor rgb="002E7D32"/>
      </patternFill>
    </fill>
    <fill>
      <patternFill patternType="solid">
        <fgColor rgb="00546E7A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3E5F5"/>
      </patternFill>
    </fill>
    <fill>
      <patternFill patternType="solid">
        <fgColor rgb="00EDE7F6"/>
      </patternFill>
    </fill>
    <fill>
      <patternFill patternType="solid">
        <fgColor rgb="00FCE4EC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CFD8DC"/>
      </patternFill>
    </fill>
    <fill>
      <patternFill patternType="solid">
        <fgColor rgb="00ECEFF1"/>
      </patternFill>
    </fill>
    <fill>
      <patternFill patternType="solid">
        <fgColor rgb="00E1BEE7"/>
      </patternFill>
    </fill>
    <fill>
      <patternFill patternType="solid">
        <fgColor rgb="004E342E"/>
      </patternFill>
    </fill>
    <fill>
      <patternFill patternType="solid">
        <fgColor rgb="00EFEBE9"/>
      </patternFill>
    </fill>
  </fills>
  <borders count="6">
    <border>
      <left/>
      <right/>
      <top/>
      <bottom/>
      <diagonal/>
    </border>
    <border>
      <left style="thin">
        <color rgb="00D0D5DF"/>
      </left>
      <right style="thin">
        <color rgb="00D0D5DF"/>
      </right>
      <top style="thin">
        <color rgb="00D0D5DF"/>
      </top>
      <bottom style="thin">
        <color rgb="00D0D5DF"/>
      </bottom>
    </border>
    <border>
      <left/>
      <right/>
      <top style="thin">
        <color rgb="00D0D5DF"/>
      </top>
      <bottom/>
      <diagonal/>
    </border>
    <border>
      <left/>
      <right style="thin">
        <color rgb="00D0D5DF"/>
      </right>
      <top style="thin">
        <color rgb="00D0D5DF"/>
      </top>
      <bottom/>
      <diagonal/>
    </border>
    <border>
      <left/>
      <right/>
      <top style="thin">
        <color rgb="00D0D5DF"/>
      </top>
      <bottom style="thin">
        <color rgb="00D0D5DF"/>
      </bottom>
      <diagonal/>
    </border>
    <border>
      <left/>
      <right style="thin">
        <color rgb="00D0D5DF"/>
      </right>
      <top style="thin">
        <color rgb="00D0D5DF"/>
      </top>
      <bottom style="thin">
        <color rgb="00D0D5D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0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9" fillId="20" borderId="1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 wrapText="1"/>
    </xf>
    <xf numFmtId="0" fontId="9" fillId="22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3" fillId="23" borderId="1" applyAlignment="1" pivotButton="0" quotePrefix="0" xfId="0">
      <alignment horizontal="center" vertical="center" wrapText="1"/>
    </xf>
    <xf numFmtId="0" fontId="19" fillId="24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21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left" vertical="center" wrapText="1"/>
    </xf>
    <xf numFmtId="0" fontId="22" fillId="27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0" fontId="3" fillId="28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18" customWidth="1" min="4" max="4"/>
    <col width="14" customWidth="1" min="5" max="5"/>
    <col width="12" customWidth="1" min="6" max="6"/>
    <col width="16" customWidth="1" min="7" max="7"/>
  </cols>
  <sheetData>
    <row r="1" ht="30" customHeight="1">
      <c r="A1" s="1" t="inlineStr">
        <is>
          <t>Ratal Group — COMPLETE Form Field Map  (All Modules)</t>
        </is>
      </c>
    </row>
    <row r="2">
      <c r="A2" s="2" t="inlineStr">
        <is>
          <t>35 sheets — fill yellow columns and return as specification.</t>
        </is>
      </c>
    </row>
    <row r="4" ht="18" customHeight="1">
      <c r="A4" s="3" t="inlineStr">
        <is>
          <t>GROUP</t>
        </is>
      </c>
      <c r="B4" s="3" t="inlineStr">
        <is>
          <t>Sheet Name</t>
        </is>
      </c>
      <c r="C4" s="3" t="inlineStr">
        <is>
          <t>Form / Page</t>
        </is>
      </c>
      <c r="D4" s="3" t="inlineStr">
        <is>
          <t>Route / Location</t>
        </is>
      </c>
      <c r="E4" s="3" t="inlineStr">
        <is>
          <t>Entity</t>
        </is>
      </c>
      <c r="F4" s="3" t="inlineStr">
        <is>
          <t>Roles</t>
        </is>
      </c>
      <c r="G4" s="3" t="inlineStr">
        <is>
          <t>Status</t>
        </is>
      </c>
    </row>
    <row r="5" ht="16" customHeight="1">
      <c r="A5" s="4" t="inlineStr">
        <is>
          <t>A — Public Forms</t>
        </is>
      </c>
      <c r="B5" s="5" t="inlineStr">
        <is>
          <t>frmMoneyRequest</t>
        </is>
      </c>
      <c r="C5" s="6" t="inlineStr">
        <is>
          <t>Money Request</t>
        </is>
      </c>
      <c r="D5" s="6" t="inlineStr">
        <is>
          <t>/forms/money-request</t>
        </is>
      </c>
      <c r="E5" s="6" t="inlineStr">
        <is>
          <t>ACCSYS</t>
        </is>
      </c>
      <c r="F5" s="6" t="inlineStr">
        <is>
          <t>No login</t>
        </is>
      </c>
      <c r="G5" s="6" t="inlineStr">
        <is>
          <t>Active</t>
        </is>
      </c>
    </row>
    <row r="6" ht="16" customHeight="1">
      <c r="A6" s="7" t="inlineStr"/>
      <c r="B6" s="5" t="inlineStr">
        <is>
          <t>frmExpense</t>
        </is>
      </c>
      <c r="C6" s="7" t="inlineStr">
        <is>
          <t>Expense Claim</t>
        </is>
      </c>
      <c r="D6" s="7" t="inlineStr">
        <is>
          <t>/forms/expense</t>
        </is>
      </c>
      <c r="E6" s="7" t="inlineStr">
        <is>
          <t>All</t>
        </is>
      </c>
      <c r="F6" s="7" t="inlineStr">
        <is>
          <t>No login</t>
        </is>
      </c>
      <c r="G6" s="7" t="inlineStr">
        <is>
          <t>Active</t>
        </is>
      </c>
    </row>
    <row r="7" ht="16" customHeight="1">
      <c r="A7" s="6" t="inlineStr"/>
      <c r="B7" s="5" t="inlineStr">
        <is>
          <t>frmFoodAllowance</t>
        </is>
      </c>
      <c r="C7" s="6" t="inlineStr">
        <is>
          <t>Food Allowance</t>
        </is>
      </c>
      <c r="D7" s="6" t="inlineStr">
        <is>
          <t>/forms/food-allowance</t>
        </is>
      </c>
      <c r="E7" s="6" t="inlineStr">
        <is>
          <t>All</t>
        </is>
      </c>
      <c r="F7" s="6" t="inlineStr">
        <is>
          <t>No login</t>
        </is>
      </c>
      <c r="G7" s="6" t="inlineStr">
        <is>
          <t>Active</t>
        </is>
      </c>
    </row>
    <row r="8" ht="16" customHeight="1">
      <c r="A8" s="7" t="inlineStr"/>
      <c r="B8" s="5" t="inlineStr">
        <is>
          <t>frmOvertime</t>
        </is>
      </c>
      <c r="C8" s="7" t="inlineStr">
        <is>
          <t>Overtime Request</t>
        </is>
      </c>
      <c r="D8" s="7" t="inlineStr">
        <is>
          <t>/forms/overtime</t>
        </is>
      </c>
      <c r="E8" s="7" t="inlineStr">
        <is>
          <t>All</t>
        </is>
      </c>
      <c r="F8" s="7" t="inlineStr">
        <is>
          <t>No login</t>
        </is>
      </c>
      <c r="G8" s="7" t="inlineStr">
        <is>
          <t>Active</t>
        </is>
      </c>
    </row>
    <row r="9" ht="16" customHeight="1">
      <c r="A9" s="6" t="inlineStr"/>
      <c r="B9" s="5" t="inlineStr">
        <is>
          <t>frmPORequest</t>
        </is>
      </c>
      <c r="C9" s="6" t="inlineStr">
        <is>
          <t>PO Request (public)</t>
        </is>
      </c>
      <c r="D9" s="6" t="inlineStr">
        <is>
          <t>/forms/po-request</t>
        </is>
      </c>
      <c r="E9" s="6" t="inlineStr">
        <is>
          <t>ACCSYS</t>
        </is>
      </c>
      <c r="F9" s="6" t="inlineStr">
        <is>
          <t>No login</t>
        </is>
      </c>
      <c r="G9" s="6" t="inlineStr">
        <is>
          <t>Active</t>
        </is>
      </c>
    </row>
    <row r="10" ht="16" customHeight="1">
      <c r="A10" s="8" t="inlineStr">
        <is>
          <t>B — Field Portal</t>
        </is>
      </c>
      <c r="B10" s="5" t="inlineStr">
        <is>
          <t>frmField_Portal</t>
        </is>
      </c>
      <c r="C10" s="7" t="inlineStr">
        <is>
          <t>QR Field Forms (4)</t>
        </is>
      </c>
      <c r="D10" s="7" t="inlineStr">
        <is>
          <t>/field</t>
        </is>
      </c>
      <c r="E10" s="7" t="inlineStr">
        <is>
          <t>All</t>
        </is>
      </c>
      <c r="F10" s="7" t="inlineStr">
        <is>
          <t>QR Scan</t>
        </is>
      </c>
      <c r="G10" s="7" t="inlineStr">
        <is>
          <t>Active</t>
        </is>
      </c>
    </row>
    <row r="11" ht="16" customHeight="1">
      <c r="A11" s="9" t="inlineStr">
        <is>
          <t>C — Masters</t>
        </is>
      </c>
      <c r="B11" s="5" t="inlineStr">
        <is>
          <t>frmDepartments</t>
        </is>
      </c>
      <c r="C11" s="6" t="inlineStr">
        <is>
          <t>Departments</t>
        </is>
      </c>
      <c r="D11" s="6" t="inlineStr">
        <is>
          <t>App → Masters</t>
        </is>
      </c>
      <c r="E11" s="6" t="inlineStr">
        <is>
          <t>All</t>
        </is>
      </c>
      <c r="F11" s="6" t="inlineStr">
        <is>
          <t>ADMIN/DH</t>
        </is>
      </c>
      <c r="G11" s="6" t="inlineStr">
        <is>
          <t>Active</t>
        </is>
      </c>
    </row>
    <row r="12" ht="16" customHeight="1">
      <c r="A12" s="7" t="inlineStr"/>
      <c r="B12" s="5" t="inlineStr">
        <is>
          <t>frmEmployees</t>
        </is>
      </c>
      <c r="C12" s="7" t="inlineStr">
        <is>
          <t>Employees</t>
        </is>
      </c>
      <c r="D12" s="7" t="inlineStr">
        <is>
          <t>App → Masters</t>
        </is>
      </c>
      <c r="E12" s="7" t="inlineStr">
        <is>
          <t>All</t>
        </is>
      </c>
      <c r="F12" s="7" t="inlineStr">
        <is>
          <t>ADMIN/DH</t>
        </is>
      </c>
      <c r="G12" s="7" t="inlineStr">
        <is>
          <t>Active</t>
        </is>
      </c>
    </row>
    <row r="13" ht="16" customHeight="1">
      <c r="A13" s="6" t="inlineStr"/>
      <c r="B13" s="5" t="inlineStr">
        <is>
          <t>frmContractors</t>
        </is>
      </c>
      <c r="C13" s="6" t="inlineStr">
        <is>
          <t>Party List</t>
        </is>
      </c>
      <c r="D13" s="6" t="inlineStr">
        <is>
          <t>App → Masters</t>
        </is>
      </c>
      <c r="E13" s="6" t="inlineStr">
        <is>
          <t>ACCSYS</t>
        </is>
      </c>
      <c r="F13" s="6" t="inlineStr">
        <is>
          <t>ADMIN/DH</t>
        </is>
      </c>
      <c r="G13" s="6" t="inlineStr">
        <is>
          <t>Active</t>
        </is>
      </c>
    </row>
    <row r="14" ht="16" customHeight="1">
      <c r="A14" s="7" t="inlineStr"/>
      <c r="B14" s="5" t="inlineStr">
        <is>
          <t>frmProjects</t>
        </is>
      </c>
      <c r="C14" s="7" t="inlineStr">
        <is>
          <t>Projects</t>
        </is>
      </c>
      <c r="D14" s="7" t="inlineStr">
        <is>
          <t>App → Masters</t>
        </is>
      </c>
      <c r="E14" s="7" t="inlineStr">
        <is>
          <t>ACCSYS</t>
        </is>
      </c>
      <c r="F14" s="7" t="inlineStr">
        <is>
          <t>All</t>
        </is>
      </c>
      <c r="G14" s="7" t="inlineStr">
        <is>
          <t>Active</t>
        </is>
      </c>
    </row>
    <row r="15" ht="16" customHeight="1">
      <c r="A15" s="6" t="inlineStr"/>
      <c r="B15" s="5" t="inlineStr">
        <is>
          <t>frmSiteMaster</t>
        </is>
      </c>
      <c r="C15" s="6" t="inlineStr">
        <is>
          <t>Site Master</t>
        </is>
      </c>
      <c r="D15" s="6" t="inlineStr">
        <is>
          <t>App → Masters</t>
        </is>
      </c>
      <c r="E15" s="6" t="inlineStr">
        <is>
          <t>ACCSYS</t>
        </is>
      </c>
      <c r="F15" s="6" t="inlineStr">
        <is>
          <t>ADMIN/DH/PM</t>
        </is>
      </c>
      <c r="G15" s="6" t="inlineStr">
        <is>
          <t>Active</t>
        </is>
      </c>
    </row>
    <row r="16" ht="16" customHeight="1">
      <c r="A16" s="7" t="inlineStr"/>
      <c r="B16" s="5" t="inlineStr">
        <is>
          <t>frmVehicles</t>
        </is>
      </c>
      <c r="C16" s="7" t="inlineStr">
        <is>
          <t>Fleet / Vehicles</t>
        </is>
      </c>
      <c r="D16" s="7" t="inlineStr">
        <is>
          <t>App → Operations</t>
        </is>
      </c>
      <c r="E16" s="7" t="inlineStr">
        <is>
          <t>All</t>
        </is>
      </c>
      <c r="F16" s="7" t="inlineStr">
        <is>
          <t>ADMIN/DH</t>
        </is>
      </c>
      <c r="G16" s="7" t="inlineStr">
        <is>
          <t>Active</t>
        </is>
      </c>
    </row>
    <row r="17" ht="16" customHeight="1">
      <c r="A17" s="6" t="inlineStr"/>
      <c r="B17" s="5" t="inlineStr">
        <is>
          <t>frmCustomers</t>
        </is>
      </c>
      <c r="C17" s="6" t="inlineStr">
        <is>
          <t>Customers</t>
        </is>
      </c>
      <c r="D17" s="6" t="inlineStr">
        <is>
          <t>App → Travel</t>
        </is>
      </c>
      <c r="E17" s="6" t="inlineStr">
        <is>
          <t>RAT/GWT</t>
        </is>
      </c>
      <c r="F17" s="6" t="inlineStr">
        <is>
          <t>All</t>
        </is>
      </c>
      <c r="G17" s="6" t="inlineStr">
        <is>
          <t>Active</t>
        </is>
      </c>
    </row>
    <row r="18" ht="16" customHeight="1">
      <c r="A18" s="10" t="inlineStr">
        <is>
          <t>D — Operations</t>
        </is>
      </c>
      <c r="B18" s="5" t="inlineStr">
        <is>
          <t>frmLOI</t>
        </is>
      </c>
      <c r="C18" s="7" t="inlineStr">
        <is>
          <t>LOI Register</t>
        </is>
      </c>
      <c r="D18" s="7" t="inlineStr">
        <is>
          <t>App → Operations</t>
        </is>
      </c>
      <c r="E18" s="7" t="inlineStr">
        <is>
          <t>ACCSYS</t>
        </is>
      </c>
      <c r="F18" s="7" t="inlineStr">
        <is>
          <t>ADMIN/DH/PM</t>
        </is>
      </c>
      <c r="G18" s="7" t="inlineStr">
        <is>
          <t>Active</t>
        </is>
      </c>
    </row>
    <row r="19" ht="16" customHeight="1">
      <c r="A19" s="6" t="inlineStr"/>
      <c r="B19" s="5" t="inlineStr">
        <is>
          <t>frmPO_Admin</t>
        </is>
      </c>
      <c r="C19" s="6" t="inlineStr">
        <is>
          <t>Purchase Orders</t>
        </is>
      </c>
      <c r="D19" s="6" t="inlineStr">
        <is>
          <t>App → Operations</t>
        </is>
      </c>
      <c r="E19" s="6" t="inlineStr">
        <is>
          <t>ACCSYS</t>
        </is>
      </c>
      <c r="F19" s="6" t="inlineStr">
        <is>
          <t>ADMIN/DH</t>
        </is>
      </c>
      <c r="G19" s="6" t="inlineStr">
        <is>
          <t>Active</t>
        </is>
      </c>
    </row>
    <row r="20" ht="16" customHeight="1">
      <c r="A20" s="7" t="inlineStr"/>
      <c r="B20" s="5" t="inlineStr">
        <is>
          <t>frmMR_Admin</t>
        </is>
      </c>
      <c r="C20" s="7" t="inlineStr">
        <is>
          <t>Money Requests (admin)</t>
        </is>
      </c>
      <c r="D20" s="7" t="inlineStr">
        <is>
          <t>App → Operations</t>
        </is>
      </c>
      <c r="E20" s="7" t="inlineStr">
        <is>
          <t>ACCSYS</t>
        </is>
      </c>
      <c r="F20" s="7" t="inlineStr">
        <is>
          <t>ADMIN/DH/PM</t>
        </is>
      </c>
      <c r="G20" s="7" t="inlineStr">
        <is>
          <t>Active</t>
        </is>
      </c>
    </row>
    <row r="21" ht="16" customHeight="1">
      <c r="A21" s="6" t="inlineStr"/>
      <c r="B21" s="5" t="inlineStr">
        <is>
          <t>frmSiteAssignment</t>
        </is>
      </c>
      <c r="C21" s="6" t="inlineStr">
        <is>
          <t>Site Assignment</t>
        </is>
      </c>
      <c r="D21" s="6" t="inlineStr">
        <is>
          <t>App → Masters</t>
        </is>
      </c>
      <c r="E21" s="6" t="inlineStr">
        <is>
          <t>ACCSYS</t>
        </is>
      </c>
      <c r="F21" s="6" t="inlineStr">
        <is>
          <t>ADMIN/DH/PM</t>
        </is>
      </c>
      <c r="G21" s="6" t="inlineStr">
        <is>
          <t>Active</t>
        </is>
      </c>
    </row>
    <row r="22" ht="16" customHeight="1">
      <c r="A22" s="11" t="inlineStr">
        <is>
          <t>E — HR</t>
        </is>
      </c>
      <c r="B22" s="5" t="inlineStr">
        <is>
          <t>frmPayroll</t>
        </is>
      </c>
      <c r="C22" s="7" t="inlineStr">
        <is>
          <t>Payroll Run</t>
        </is>
      </c>
      <c r="D22" s="7" t="inlineStr">
        <is>
          <t>App → HR</t>
        </is>
      </c>
      <c r="E22" s="7" t="inlineStr">
        <is>
          <t>All</t>
        </is>
      </c>
      <c r="F22" s="7" t="inlineStr">
        <is>
          <t>ADMIN</t>
        </is>
      </c>
      <c r="G22" s="7" t="inlineStr">
        <is>
          <t>Active</t>
        </is>
      </c>
    </row>
    <row r="23" ht="16" customHeight="1">
      <c r="A23" s="6" t="inlineStr"/>
      <c r="B23" s="5" t="inlineStr">
        <is>
          <t>frmVacations</t>
        </is>
      </c>
      <c r="C23" s="6" t="inlineStr">
        <is>
          <t>Vacations &amp; Leave</t>
        </is>
      </c>
      <c r="D23" s="6" t="inlineStr">
        <is>
          <t>App → HR</t>
        </is>
      </c>
      <c r="E23" s="6" t="inlineStr">
        <is>
          <t>All</t>
        </is>
      </c>
      <c r="F23" s="6" t="inlineStr">
        <is>
          <t>ADMIN/DH</t>
        </is>
      </c>
      <c r="G23" s="6" t="inlineStr">
        <is>
          <t>Active</t>
        </is>
      </c>
    </row>
    <row r="24" ht="16" customHeight="1">
      <c r="A24" s="7" t="inlineStr"/>
      <c r="B24" s="5" t="inlineStr">
        <is>
          <t>frmLoans</t>
        </is>
      </c>
      <c r="C24" s="7" t="inlineStr">
        <is>
          <t>Loans / EOS / Penalties</t>
        </is>
      </c>
      <c r="D24" s="7" t="inlineStr">
        <is>
          <t>App → HR</t>
        </is>
      </c>
      <c r="E24" s="7" t="inlineStr">
        <is>
          <t>All</t>
        </is>
      </c>
      <c r="F24" s="7" t="inlineStr">
        <is>
          <t>ADMIN</t>
        </is>
      </c>
      <c r="G24" s="7" t="inlineStr">
        <is>
          <t>Active</t>
        </is>
      </c>
    </row>
    <row r="25" ht="16" customHeight="1">
      <c r="A25" s="6" t="inlineStr"/>
      <c r="B25" s="5" t="inlineStr">
        <is>
          <t>frmStaffActions</t>
        </is>
      </c>
      <c r="C25" s="6" t="inlineStr">
        <is>
          <t>Staff Actions (SAR)</t>
        </is>
      </c>
      <c r="D25" s="6" t="inlineStr">
        <is>
          <t>App → HR</t>
        </is>
      </c>
      <c r="E25" s="6" t="inlineStr">
        <is>
          <t>All</t>
        </is>
      </c>
      <c r="F25" s="6" t="inlineStr">
        <is>
          <t>ADMIN/DH</t>
        </is>
      </c>
      <c r="G25" s="6" t="inlineStr">
        <is>
          <t>Active</t>
        </is>
      </c>
    </row>
    <row r="26" ht="16" customHeight="1">
      <c r="A26" s="12" t="inlineStr">
        <is>
          <t>F — Accounting</t>
        </is>
      </c>
      <c r="B26" s="5" t="inlineStr">
        <is>
          <t>frmInvoices</t>
        </is>
      </c>
      <c r="C26" s="7" t="inlineStr">
        <is>
          <t>Invoices</t>
        </is>
      </c>
      <c r="D26" s="7" t="inlineStr">
        <is>
          <t>App → Finance</t>
        </is>
      </c>
      <c r="E26" s="7" t="inlineStr">
        <is>
          <t>All</t>
        </is>
      </c>
      <c r="F26" s="7" t="inlineStr">
        <is>
          <t>ADMIN</t>
        </is>
      </c>
      <c r="G26" s="7" t="inlineStr">
        <is>
          <t>Active</t>
        </is>
      </c>
    </row>
    <row r="27" ht="16" customHeight="1">
      <c r="A27" s="6" t="inlineStr"/>
      <c r="B27" s="5" t="inlineStr">
        <is>
          <t>frmPayments</t>
        </is>
      </c>
      <c r="C27" s="6" t="inlineStr">
        <is>
          <t>Payments</t>
        </is>
      </c>
      <c r="D27" s="6" t="inlineStr">
        <is>
          <t>App → Finance</t>
        </is>
      </c>
      <c r="E27" s="6" t="inlineStr">
        <is>
          <t>All</t>
        </is>
      </c>
      <c r="F27" s="6" t="inlineStr">
        <is>
          <t>ADMIN</t>
        </is>
      </c>
      <c r="G27" s="6" t="inlineStr">
        <is>
          <t>Active</t>
        </is>
      </c>
    </row>
    <row r="28" ht="16" customHeight="1">
      <c r="A28" s="7" t="inlineStr"/>
      <c r="B28" s="5" t="inlineStr">
        <is>
          <t>frmReceipts</t>
        </is>
      </c>
      <c r="C28" s="7" t="inlineStr">
        <is>
          <t>Receipts</t>
        </is>
      </c>
      <c r="D28" s="7" t="inlineStr">
        <is>
          <t>App → Finance</t>
        </is>
      </c>
      <c r="E28" s="7" t="inlineStr">
        <is>
          <t>All</t>
        </is>
      </c>
      <c r="F28" s="7" t="inlineStr">
        <is>
          <t>ADMIN</t>
        </is>
      </c>
      <c r="G28" s="7" t="inlineStr">
        <is>
          <t>Active</t>
        </is>
      </c>
    </row>
    <row r="29" ht="16" customHeight="1">
      <c r="A29" s="6" t="inlineStr"/>
      <c r="B29" s="5" t="inlineStr">
        <is>
          <t>frmJournalVoucher</t>
        </is>
      </c>
      <c r="C29" s="6" t="inlineStr">
        <is>
          <t>Journal Vouchers</t>
        </is>
      </c>
      <c r="D29" s="6" t="inlineStr">
        <is>
          <t>App → Accounting</t>
        </is>
      </c>
      <c r="E29" s="6" t="inlineStr">
        <is>
          <t>All</t>
        </is>
      </c>
      <c r="F29" s="6" t="inlineStr">
        <is>
          <t>ADMIN</t>
        </is>
      </c>
      <c r="G29" s="6" t="inlineStr">
        <is>
          <t>Active</t>
        </is>
      </c>
    </row>
    <row r="30" ht="16" customHeight="1">
      <c r="A30" s="7" t="inlineStr"/>
      <c r="B30" s="5" t="inlineStr">
        <is>
          <t>frmCheques</t>
        </is>
      </c>
      <c r="C30" s="7" t="inlineStr">
        <is>
          <t>Cheque Register</t>
        </is>
      </c>
      <c r="D30" s="7" t="inlineStr">
        <is>
          <t>App → Accounting</t>
        </is>
      </c>
      <c r="E30" s="7" t="inlineStr">
        <is>
          <t>All</t>
        </is>
      </c>
      <c r="F30" s="7" t="inlineStr">
        <is>
          <t>ADMIN</t>
        </is>
      </c>
      <c r="G30" s="7" t="inlineStr">
        <is>
          <t>Active</t>
        </is>
      </c>
    </row>
    <row r="31" ht="16" customHeight="1">
      <c r="A31" s="6" t="inlineStr"/>
      <c r="B31" s="5" t="inlineStr">
        <is>
          <t>frmFixedAssets</t>
        </is>
      </c>
      <c r="C31" s="6" t="inlineStr">
        <is>
          <t>Fixed Assets</t>
        </is>
      </c>
      <c r="D31" s="6" t="inlineStr">
        <is>
          <t>App → Planning</t>
        </is>
      </c>
      <c r="E31" s="6" t="inlineStr">
        <is>
          <t>All</t>
        </is>
      </c>
      <c r="F31" s="6" t="inlineStr">
        <is>
          <t>ADMIN</t>
        </is>
      </c>
      <c r="G31" s="6" t="inlineStr">
        <is>
          <t>Active</t>
        </is>
      </c>
    </row>
    <row r="32" ht="16" customHeight="1">
      <c r="A32" s="7" t="inlineStr"/>
      <c r="B32" s="5" t="inlineStr">
        <is>
          <t>frmBudget</t>
        </is>
      </c>
      <c r="C32" s="7" t="inlineStr">
        <is>
          <t>Budget</t>
        </is>
      </c>
      <c r="D32" s="7" t="inlineStr">
        <is>
          <t>App → Planning</t>
        </is>
      </c>
      <c r="E32" s="7" t="inlineStr">
        <is>
          <t>All</t>
        </is>
      </c>
      <c r="F32" s="7" t="inlineStr">
        <is>
          <t>ADMIN</t>
        </is>
      </c>
      <c r="G32" s="7" t="inlineStr">
        <is>
          <t>Active</t>
        </is>
      </c>
    </row>
    <row r="33" ht="16" customHeight="1">
      <c r="A33" s="6" t="inlineStr"/>
      <c r="B33" s="5" t="inlineStr">
        <is>
          <t>frmPettyCash</t>
        </is>
      </c>
      <c r="C33" s="6" t="inlineStr">
        <is>
          <t>Petty Cash</t>
        </is>
      </c>
      <c r="D33" s="6" t="inlineStr">
        <is>
          <t>App → Accounting</t>
        </is>
      </c>
      <c r="E33" s="6" t="inlineStr">
        <is>
          <t>All</t>
        </is>
      </c>
      <c r="F33" s="6" t="inlineStr">
        <is>
          <t>ADMIN/DH</t>
        </is>
      </c>
      <c r="G33" s="6" t="inlineStr">
        <is>
          <t>Active</t>
        </is>
      </c>
    </row>
    <row r="34" ht="16" customHeight="1">
      <c r="A34" s="13" t="inlineStr">
        <is>
          <t>G — Admin</t>
        </is>
      </c>
      <c r="B34" s="5" t="inlineStr">
        <is>
          <t>frmUserManagement</t>
        </is>
      </c>
      <c r="C34" s="7" t="inlineStr">
        <is>
          <t>User Management</t>
        </is>
      </c>
      <c r="D34" s="7" t="inlineStr">
        <is>
          <t>App → Administration</t>
        </is>
      </c>
      <c r="E34" s="7" t="inlineStr">
        <is>
          <t>All</t>
        </is>
      </c>
      <c r="F34" s="7" t="inlineStr">
        <is>
          <t>SUPERADMIN</t>
        </is>
      </c>
      <c r="G34" s="7" t="inlineStr">
        <is>
          <t>Active</t>
        </is>
      </c>
    </row>
    <row r="35" ht="16" customHeight="1">
      <c r="A35" s="6" t="inlineStr"/>
      <c r="B35" s="5" t="inlineStr">
        <is>
          <t>frmSettings</t>
        </is>
      </c>
      <c r="C35" s="6" t="inlineStr">
        <is>
          <t>Settings</t>
        </is>
      </c>
      <c r="D35" s="6" t="inlineStr">
        <is>
          <t>App → Administration</t>
        </is>
      </c>
      <c r="E35" s="6" t="inlineStr">
        <is>
          <t>All</t>
        </is>
      </c>
      <c r="F35" s="6" t="inlineStr">
        <is>
          <t>ADMIN</t>
        </is>
      </c>
      <c r="G35" s="6" t="inlineStr">
        <is>
          <t>Active</t>
        </is>
      </c>
    </row>
    <row r="36" ht="16" customHeight="1">
      <c r="A36" s="14" t="inlineStr">
        <is>
          <t>H — Reports</t>
        </is>
      </c>
      <c r="B36" s="5" t="inlineStr">
        <is>
          <t>rpt_Filters</t>
        </is>
      </c>
      <c r="C36" s="7" t="inlineStr">
        <is>
          <t>Report Filter Panels</t>
        </is>
      </c>
      <c r="D36" s="7" t="inlineStr">
        <is>
          <t>App → Reports</t>
        </is>
      </c>
      <c r="E36" s="7" t="inlineStr">
        <is>
          <t>All</t>
        </is>
      </c>
      <c r="F36" s="7" t="inlineStr">
        <is>
          <t>ADMIN</t>
        </is>
      </c>
      <c r="G36" s="7" t="inlineStr">
        <is>
          <t>Ref</t>
        </is>
      </c>
    </row>
    <row r="37" ht="16" customHeight="1">
      <c r="A37" s="15" t="inlineStr">
        <is>
          <t>Ref</t>
        </is>
      </c>
      <c r="B37" s="5" t="inlineStr">
        <is>
          <t>DB_Tables</t>
        </is>
      </c>
      <c r="C37" s="6" t="inlineStr">
        <is>
          <t>Database Tables</t>
        </is>
      </c>
      <c r="D37" s="6" t="inlineStr">
        <is>
          <t>Supabase PostgreSQL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Ref</t>
        </is>
      </c>
    </row>
    <row r="38" ht="16" customHeight="1">
      <c r="A38" s="7" t="inlineStr"/>
      <c r="B38" s="5" t="inlineStr">
        <is>
          <t>cboSources</t>
        </is>
      </c>
      <c r="C38" s="7" t="inlineStr">
        <is>
          <t>Dropdown Sources</t>
        </is>
      </c>
      <c r="D38" s="7" t="inlineStr">
        <is>
          <t>All cbo controls</t>
        </is>
      </c>
      <c r="E38" s="7" t="inlineStr">
        <is>
          <t>—</t>
        </is>
      </c>
      <c r="F38" s="7" t="inlineStr">
        <is>
          <t>—</t>
        </is>
      </c>
      <c r="G38" s="7" t="inlineStr">
        <is>
          <t>Ref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16" t="inlineStr">
        <is>
          <t>frmMoneyRequest  —  Money Request (Public)  |  /forms/money-request</t>
        </is>
      </c>
    </row>
    <row r="2">
      <c r="A2" s="17" t="inlineStr">
        <is>
          <t>Yellow columns = your corrections. Add / rename / delete rows freely.</t>
        </is>
      </c>
    </row>
    <row r="3" ht="32" customHeight="1">
      <c r="A3" s="18" t="inlineStr">
        <is>
          <t>Control Name (VBA)</t>
        </is>
      </c>
      <c r="B3" s="18" t="inlineStr">
        <is>
          <t>Type</t>
        </is>
      </c>
      <c r="C3" s="18" t="inlineStr">
        <is>
          <t>Frame / Section</t>
        </is>
      </c>
      <c r="D3" s="18" t="inlineStr">
        <is>
          <t>Label — English</t>
        </is>
      </c>
      <c r="E3" s="18" t="inlineStr">
        <is>
          <t>Label — Arabic</t>
        </is>
      </c>
      <c r="F3" s="18" t="inlineStr">
        <is>
          <t>Data Source / Table</t>
        </is>
      </c>
      <c r="G3" s="18" t="inlineStr">
        <is>
          <t>Depends On</t>
        </is>
      </c>
      <c r="H3" s="18" t="inlineStr">
        <is>
          <t>Format / Validation</t>
        </is>
      </c>
      <c r="I3" s="18" t="inlineStr">
        <is>
          <t>Required</t>
        </is>
      </c>
      <c r="J3" s="18" t="inlineStr">
        <is>
          <t>Read-Only</t>
        </is>
      </c>
      <c r="K3" s="18" t="inlineStr">
        <is>
          <t>DB Column (current)</t>
        </is>
      </c>
      <c r="L3" s="18" t="inlineStr">
        <is>
          <t>Business Rules / Notes</t>
        </is>
      </c>
      <c r="M3" s="18" t="inlineStr">
        <is>
          <t>✏ Your Correction</t>
        </is>
      </c>
      <c r="N3" s="18" t="inlineStr">
        <is>
          <t>✏ New DB Column</t>
        </is>
      </c>
    </row>
    <row r="4" ht="17" customHeight="1">
      <c r="A4" s="19" t="inlineStr">
        <is>
          <t xml:space="preserve">  ▸  frHeader  —  Header — Language toggle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0" t="inlineStr">
        <is>
          <t>tglLanguage</t>
        </is>
      </c>
      <c r="B5" s="21" t="inlineStr">
        <is>
          <t>tgl</t>
        </is>
      </c>
      <c r="C5" s="21" t="inlineStr">
        <is>
          <t>frHeader</t>
        </is>
      </c>
      <c r="D5" s="21" t="inlineStr">
        <is>
          <t>العربية / English</t>
        </is>
      </c>
      <c r="E5" s="21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Toggle RTL/LTR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Top-right header</t>
        </is>
      </c>
      <c r="M5" s="22" t="inlineStr"/>
      <c r="N5" s="22" t="inlineStr"/>
    </row>
    <row r="6" ht="17" customHeight="1">
      <c r="A6" s="19" t="inlineStr">
        <is>
          <t xml:space="preserve">  ▸  frRequestorInfo  —  Requestor Info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</row>
    <row r="7" ht="15" customHeight="1">
      <c r="A7" s="20" t="inlineStr">
        <is>
          <t>txtDate</t>
        </is>
      </c>
      <c r="B7" s="21" t="inlineStr">
        <is>
          <t>txt</t>
        </is>
      </c>
      <c r="C7" s="21" t="inlineStr">
        <is>
          <t>frRequestorInfo</t>
        </is>
      </c>
      <c r="D7" s="21" t="inlineStr">
        <is>
          <t>Date</t>
        </is>
      </c>
      <c r="E7" s="21" t="inlineStr">
        <is>
          <t>التاريخ</t>
        </is>
      </c>
      <c r="F7" s="21" t="inlineStr">
        <is>
          <t>today()</t>
        </is>
      </c>
      <c r="G7" s="21" t="inlineStr">
        <is>
          <t>—</t>
        </is>
      </c>
      <c r="H7" s="21" t="inlineStr">
        <is>
          <t>DD/MM/YYYY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request_date</t>
        </is>
      </c>
      <c r="L7" s="21" t="inlineStr">
        <is>
          <t>Default today</t>
        </is>
      </c>
      <c r="M7" s="22" t="inlineStr"/>
      <c r="N7" s="22" t="inlineStr"/>
    </row>
    <row r="8" ht="15" customHeight="1">
      <c r="A8" s="20" t="inlineStr">
        <is>
          <t>cboDepartment</t>
        </is>
      </c>
      <c r="B8" s="7" t="inlineStr">
        <is>
          <t>cbo</t>
        </is>
      </c>
      <c r="C8" s="7" t="inlineStr">
        <is>
          <t>frRequestorInfo</t>
        </is>
      </c>
      <c r="D8" s="7" t="inlineStr">
        <is>
          <t>Department *</t>
        </is>
      </c>
      <c r="E8" s="7" t="inlineStr">
        <is>
          <t>القسم *</t>
        </is>
      </c>
      <c r="F8" s="7" t="inlineStr">
        <is>
          <t>departments WHERE is_active=TRUE</t>
        </is>
      </c>
      <c r="G8" s="7" t="inlineStr">
        <is>
          <t>entity_id from session</t>
        </is>
      </c>
      <c r="H8" s="7" t="inlineStr">
        <is>
          <t>dept_code display | UUID value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department_id + department_name</t>
        </is>
      </c>
      <c r="L8" s="7" t="inlineStr">
        <is>
          <t>Loads on open. Triggers cboRequestor + project list.</t>
        </is>
      </c>
      <c r="M8" s="22" t="inlineStr"/>
      <c r="N8" s="22" t="inlineStr"/>
    </row>
    <row r="9" ht="15" customHeight="1">
      <c r="A9" s="20" t="inlineStr">
        <is>
          <t>cboRequestor</t>
        </is>
      </c>
      <c r="B9" s="21" t="inlineStr">
        <is>
          <t>cbo</t>
        </is>
      </c>
      <c r="C9" s="21" t="inlineStr">
        <is>
          <t>frRequestorInfo</t>
        </is>
      </c>
      <c r="D9" s="21" t="inlineStr">
        <is>
          <t>Requestor *</t>
        </is>
      </c>
      <c r="E9" s="21" t="inlineStr">
        <is>
          <t>مقدم الطلب *</t>
        </is>
      </c>
      <c r="F9" s="21" t="inlineStr">
        <is>
          <t>employees (FK from dept record)</t>
        </is>
      </c>
      <c r="G9" s="21" t="inlineStr">
        <is>
          <t>cboDepartment</t>
        </is>
      </c>
      <c r="H9" s="21" t="inlineStr">
        <is>
          <t>Tier 1: DH/PM/Supervisor | Tier 2: all dept staff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requested_by</t>
        </is>
      </c>
      <c r="L9" s="21" t="inlineStr">
        <is>
          <t>Two-tier fetch — auto-approved if DH submits.</t>
        </is>
      </c>
      <c r="M9" s="22" t="inlineStr"/>
      <c r="N9" s="22" t="inlineStr"/>
    </row>
    <row r="10" ht="17" customHeight="1">
      <c r="A10" s="19" t="inlineStr">
        <is>
          <t xml:space="preserve">  ▸  frPaymentLines  —  Payment Lines  (repeating card)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20" t="inlineStr">
        <is>
          <t>cboParty</t>
        </is>
      </c>
      <c r="B11" s="21" t="inlineStr">
        <is>
          <t>cbo</t>
        </is>
      </c>
      <c r="C11" s="21" t="inlineStr">
        <is>
          <t>frPaymentLines</t>
        </is>
      </c>
      <c r="D11" s="21" t="inlineStr">
        <is>
          <t>Party</t>
        </is>
      </c>
      <c r="E11" s="21" t="inlineStr">
        <is>
          <t>الطرف</t>
        </is>
      </c>
      <c r="F11" s="21" t="inlineStr">
        <is>
          <t>Hardcoded</t>
        </is>
      </c>
      <c r="G11" s="21" t="inlineStr">
        <is>
          <t>—</t>
        </is>
      </c>
      <c r="H11" s="21" t="inlineStr">
        <is>
          <t>Employee|Contractor|Supplier|Vendor|Sub-Contractor|Local Supplier|Petty Cash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party_type (money_request_lines)</t>
        </is>
      </c>
      <c r="L11" s="21" t="inlineStr">
        <is>
          <t>Triggers cboPartyName source change.</t>
        </is>
      </c>
      <c r="M11" s="22" t="inlineStr"/>
      <c r="N11" s="22" t="inlineStr"/>
    </row>
    <row r="12" ht="15" customHeight="1">
      <c r="A12" s="20" t="inlineStr">
        <is>
          <t>cboPartyName</t>
        </is>
      </c>
      <c r="B12" s="7" t="inlineStr">
        <is>
          <t>cbo</t>
        </is>
      </c>
      <c r="C12" s="7" t="inlineStr">
        <is>
          <t>frPaymentLines</t>
        </is>
      </c>
      <c r="D12" s="7" t="inlineStr">
        <is>
          <t>Party Name</t>
        </is>
      </c>
      <c r="E12" s="7" t="inlineStr">
        <is>
          <t>اسم الطرف</t>
        </is>
      </c>
      <c r="F12" s="7" t="inlineStr">
        <is>
          <t>employees OR contractors</t>
        </is>
      </c>
      <c r="G12" s="7" t="inlineStr">
        <is>
          <t>cboParty + cboDept</t>
        </is>
      </c>
      <c r="H12" s="7" t="inlineStr">
        <is>
          <t>Dynamic source per cboParty value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party_id + party_name (money_request_lines)</t>
        </is>
      </c>
      <c r="L12" s="7" t="inlineStr">
        <is>
          <t>IBAN auto-fills. Petty Cash → ANB-77 (TISU) / ANB-39 (others).</t>
        </is>
      </c>
      <c r="M12" s="22" t="inlineStr"/>
      <c r="N12" s="22" t="inlineStr"/>
    </row>
    <row r="13" ht="15" customHeight="1">
      <c r="A13" s="20" t="inlineStr">
        <is>
          <t>cboType</t>
        </is>
      </c>
      <c r="B13" s="21" t="inlineStr">
        <is>
          <t>cbo</t>
        </is>
      </c>
      <c r="C13" s="21" t="inlineStr">
        <is>
          <t>frPaymentLines</t>
        </is>
      </c>
      <c r="D13" s="21" t="inlineStr">
        <is>
          <t>Payment Type</t>
        </is>
      </c>
      <c r="E13" s="21" t="inlineStr">
        <is>
          <t>نوع الدفع</t>
        </is>
      </c>
      <c r="F13" s="21" t="inlineStr">
        <is>
          <t>Hardcoded</t>
        </is>
      </c>
      <c r="G13" s="21" t="inlineStr">
        <is>
          <t>—</t>
        </is>
      </c>
      <c r="H13" s="21" t="inlineStr">
        <is>
          <t>Request|Distribute|Received|Supplier Payment|Govt Payment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line_type</t>
        </is>
      </c>
      <c r="L13" s="21" t="inlineStr"/>
      <c r="M13" s="22" t="inlineStr"/>
      <c r="N13" s="22" t="inlineStr"/>
    </row>
    <row r="14" ht="15" customHeight="1">
      <c r="A14" s="20" t="inlineStr">
        <is>
          <t>cboExpenseType</t>
        </is>
      </c>
      <c r="B14" s="7" t="inlineStr">
        <is>
          <t>cbo</t>
        </is>
      </c>
      <c r="C14" s="7" t="inlineStr">
        <is>
          <t>frPaymentLines</t>
        </is>
      </c>
      <c r="D14" s="7" t="inlineStr">
        <is>
          <t>Expense Type (MR list)</t>
        </is>
      </c>
      <c r="E14" s="7" t="inlineStr">
        <is>
          <t>نوع المصروف</t>
        </is>
      </c>
      <c r="F14" s="7" t="inlineStr">
        <is>
          <t>MR_EXPENSE_TYPES — 11 types</t>
        </is>
      </c>
      <c r="G14" s="7" t="inlineStr">
        <is>
          <t>—</t>
        </is>
      </c>
      <c r="H14" s="7" t="inlineStr">
        <is>
          <t>Sub-Con Travel|Material|Car Repairs|Team &amp; Material|Iqama Renewal|Iqama Levy|Petty Cash|Water Villa|Water Office|Stationary|Excavation Fuel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account_code</t>
        </is>
      </c>
      <c r="L14" s="7" t="inlineStr">
        <is>
          <t>MR-SPECIFIC list. Different from Expense form.</t>
        </is>
      </c>
      <c r="M14" s="22" t="inlineStr"/>
      <c r="N14" s="22" t="inlineStr"/>
    </row>
    <row r="15" ht="15" customHeight="1">
      <c r="A15" s="20" t="inlineStr">
        <is>
          <t>cboProjectNo</t>
        </is>
      </c>
      <c r="B15" s="21" t="inlineStr">
        <is>
          <t>cbo</t>
        </is>
      </c>
      <c r="C15" s="21" t="inlineStr">
        <is>
          <t>frPaymentLines</t>
        </is>
      </c>
      <c r="D15" s="21" t="inlineStr">
        <is>
          <t>Project No</t>
        </is>
      </c>
      <c r="E15" s="21" t="inlineStr">
        <is>
          <t>رقم المشروع</t>
        </is>
      </c>
      <c r="F15" s="21" t="inlineStr">
        <is>
          <t>projects WHERE ACTIVE</t>
        </is>
      </c>
      <c r="G15" s="21" t="inlineStr">
        <is>
          <t>cboDepartment</t>
        </is>
      </c>
      <c r="H15" s="21" t="inlineStr">
        <is>
          <t>dept_id FK + dept text fallback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project_id (add to money_request_lines)</t>
        </is>
      </c>
      <c r="L15" s="21" t="inlineStr">
        <is>
          <t>Optional.</t>
        </is>
      </c>
      <c r="M15" s="22" t="inlineStr"/>
      <c r="N15" s="22" t="inlineStr"/>
    </row>
    <row r="16" ht="15" customHeight="1">
      <c r="A16" s="20" t="inlineStr">
        <is>
          <t>txtIBAN</t>
        </is>
      </c>
      <c r="B16" s="7" t="inlineStr">
        <is>
          <t>txt</t>
        </is>
      </c>
      <c r="C16" s="7" t="inlineStr">
        <is>
          <t>frPaymentLines</t>
        </is>
      </c>
      <c r="D16" s="7" t="inlineStr">
        <is>
          <t>IBAN #</t>
        </is>
      </c>
      <c r="E16" s="7" t="inlineStr">
        <is>
          <t>رقم الآيبان</t>
        </is>
      </c>
      <c r="F16" s="7" t="inlineStr">
        <is>
          <t>Auto from party</t>
        </is>
      </c>
      <c r="G16" s="7" t="inlineStr">
        <is>
          <t>cboPartyName</t>
        </is>
      </c>
      <c r="H16" s="7" t="inlineStr">
        <is>
          <t>SA+22 digits | auto-filled | editable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iban (money_request_lines)</t>
        </is>
      </c>
      <c r="L16" s="7" t="inlineStr"/>
      <c r="M16" s="22" t="inlineStr"/>
      <c r="N16" s="22" t="inlineStr"/>
    </row>
    <row r="17" ht="15" customHeight="1">
      <c r="A17" s="20" t="inlineStr">
        <is>
          <t>txtAmount</t>
        </is>
      </c>
      <c r="B17" s="21" t="inlineStr">
        <is>
          <t>txt</t>
        </is>
      </c>
      <c r="C17" s="21" t="inlineStr">
        <is>
          <t>frPaymentLines</t>
        </is>
      </c>
      <c r="D17" s="21" t="inlineStr">
        <is>
          <t>Amount (SAR)</t>
        </is>
      </c>
      <c r="E17" s="21" t="inlineStr">
        <is>
          <t>المبلغ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#,##0.00 | &gt;0</t>
        </is>
      </c>
      <c r="I17" s="21" t="inlineStr">
        <is>
          <t>Y</t>
        </is>
      </c>
      <c r="J17" s="21" t="inlineStr">
        <is>
          <t>N</t>
        </is>
      </c>
      <c r="K17" s="21" t="inlineStr">
        <is>
          <t>amount (money_request_lines)</t>
        </is>
      </c>
      <c r="L17" s="21" t="inlineStr"/>
      <c r="M17" s="22" t="inlineStr"/>
      <c r="N17" s="22" t="inlineStr"/>
    </row>
    <row r="18" ht="15" customHeight="1">
      <c r="A18" s="20" t="inlineStr">
        <is>
          <t>txtRemarks</t>
        </is>
      </c>
      <c r="B18" s="7" t="inlineStr">
        <is>
          <t>txt</t>
        </is>
      </c>
      <c r="C18" s="7" t="inlineStr">
        <is>
          <t>frPaymentLines</t>
        </is>
      </c>
      <c r="D18" s="7" t="inlineStr">
        <is>
          <t>Remarks</t>
        </is>
      </c>
      <c r="E18" s="7" t="inlineStr">
        <is>
          <t>ملاحظات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Free text 200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remarks — NOT IN SCHEMA (add to lines)</t>
        </is>
      </c>
      <c r="L18" s="7" t="inlineStr"/>
      <c r="M18" s="22" t="inlineStr"/>
      <c r="N18" s="22" t="inlineStr"/>
    </row>
    <row r="19" ht="15" customHeight="1">
      <c r="A19" s="20" t="inlineStr">
        <is>
          <t>cmdRemoveLine</t>
        </is>
      </c>
      <c r="B19" s="21" t="inlineStr">
        <is>
          <t>cmd</t>
        </is>
      </c>
      <c r="C19" s="21" t="inlineStr">
        <is>
          <t>frPaymentLines</t>
        </is>
      </c>
      <c r="D19" s="21" t="inlineStr">
        <is>
          <t>✕  Remove Line</t>
        </is>
      </c>
      <c r="E19" s="21" t="inlineStr"/>
      <c r="F19" s="21" t="inlineStr">
        <is>
          <t>—</t>
        </is>
      </c>
      <c r="G19" s="21" t="inlineStr">
        <is>
          <t>—</t>
        </is>
      </c>
      <c r="H19" s="21" t="inlineStr">
        <is>
          <t>Hide if only 1 line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>
        <is>
          <t>Min 1 line required.</t>
        </is>
      </c>
      <c r="M19" s="22" t="inlineStr"/>
      <c r="N19" s="22" t="inlineStr"/>
    </row>
    <row r="20" ht="17" customHeight="1">
      <c r="A20" s="19" t="inlineStr">
        <is>
          <t xml:space="preserve">  ▸  frFooter  —  Footer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</row>
    <row r="21" ht="15" customHeight="1">
      <c r="A21" s="20" t="inlineStr">
        <is>
          <t>cmdAddLine</t>
        </is>
      </c>
      <c r="B21" s="21" t="inlineStr">
        <is>
          <t>cmd</t>
        </is>
      </c>
      <c r="C21" s="21" t="inlineStr">
        <is>
          <t>frFooter</t>
        </is>
      </c>
      <c r="D21" s="21" t="inlineStr">
        <is>
          <t>+ Add Line</t>
        </is>
      </c>
      <c r="E21" s="21" t="inlineStr">
        <is>
          <t>+ إضافة سطر</t>
        </is>
      </c>
      <c r="F21" s="21" t="inlineStr">
        <is>
          <t>—</t>
        </is>
      </c>
      <c r="G21" s="21" t="inlineStr">
        <is>
          <t>—</t>
        </is>
      </c>
      <c r="H21" s="21" t="inlineStr">
        <is>
          <t>Dashed border button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1" t="inlineStr"/>
      <c r="M21" s="22" t="inlineStr"/>
      <c r="N21" s="22" t="inlineStr"/>
    </row>
    <row r="22" ht="15" customHeight="1">
      <c r="A22" s="20" t="inlineStr">
        <is>
          <t>txtTotal</t>
        </is>
      </c>
      <c r="B22" s="7" t="inlineStr">
        <is>
          <t>txt</t>
        </is>
      </c>
      <c r="C22" s="7" t="inlineStr">
        <is>
          <t>frFooter</t>
        </is>
      </c>
      <c r="D22" s="7" t="inlineStr">
        <is>
          <t>Total (SAR)</t>
        </is>
      </c>
      <c r="E22" s="7" t="inlineStr">
        <is>
          <t>الإجمالي</t>
        </is>
      </c>
      <c r="F22" s="7" t="inlineStr">
        <is>
          <t>SUM of line amounts</t>
        </is>
      </c>
      <c r="G22" s="7" t="inlineStr">
        <is>
          <t>—</t>
        </is>
      </c>
      <c r="H22" s="7" t="inlineStr">
        <is>
          <t>SAR #,##0.00 | read-only</t>
        </is>
      </c>
      <c r="I22" s="7" t="inlineStr">
        <is>
          <t>—</t>
        </is>
      </c>
      <c r="J22" s="7" t="inlineStr">
        <is>
          <t>Y</t>
        </is>
      </c>
      <c r="K22" s="7" t="inlineStr">
        <is>
          <t>amount (money_requests header)</t>
        </is>
      </c>
      <c r="L22" s="7" t="inlineStr"/>
      <c r="M22" s="22" t="inlineStr"/>
      <c r="N22" s="22" t="inlineStr"/>
    </row>
    <row r="23" ht="15" customHeight="1">
      <c r="A23" s="20" t="inlineStr">
        <is>
          <t>cmdSubmit</t>
        </is>
      </c>
      <c r="B23" s="21" t="inlineStr">
        <is>
          <t>cmd</t>
        </is>
      </c>
      <c r="C23" s="21" t="inlineStr">
        <is>
          <t>frFooter</t>
        </is>
      </c>
      <c r="D23" s="21" t="inlineStr">
        <is>
          <t>Submit Money Request</t>
        </is>
      </c>
      <c r="E23" s="21" t="inlineStr">
        <is>
          <t>إرسال الطلب المالي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Full-width primary button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>
        <is>
          <t>Insert header + lines. Telegram notification. Auto-status by role.</t>
        </is>
      </c>
      <c r="M23" s="22" t="inlineStr"/>
      <c r="N23" s="22" t="inlineStr"/>
    </row>
    <row r="24" ht="17" customHeight="1">
      <c r="A24" s="19" t="inlineStr">
        <is>
          <t xml:space="preserve">  ▸  frSuccess  —  Success Screen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4" t="n"/>
    </row>
    <row r="25" ht="15" customHeight="1">
      <c r="A25" s="20" t="inlineStr">
        <is>
          <t>lblReqNumber</t>
        </is>
      </c>
      <c r="B25" s="21" t="inlineStr">
        <is>
          <t>lbl</t>
        </is>
      </c>
      <c r="C25" s="21" t="inlineStr">
        <is>
          <t>frSuccess</t>
        </is>
      </c>
      <c r="D25" s="21" t="inlineStr">
        <is>
          <t>Request # MR-YYYY-NNN</t>
        </is>
      </c>
      <c r="E25" s="21" t="inlineStr">
        <is>
          <t>رقم الطلب</t>
        </is>
      </c>
      <c r="F25" s="21" t="inlineStr">
        <is>
          <t>money_requests.request_number</t>
        </is>
      </c>
      <c r="G25" s="21" t="inlineStr">
        <is>
          <t>—</t>
        </is>
      </c>
      <c r="H25" s="21" t="inlineStr">
        <is>
          <t>Read-only</t>
        </is>
      </c>
      <c r="I25" s="21" t="inlineStr">
        <is>
          <t>—</t>
        </is>
      </c>
      <c r="J25" s="21" t="inlineStr">
        <is>
          <t>Y</t>
        </is>
      </c>
      <c r="K25" s="21" t="inlineStr">
        <is>
          <t>request_number</t>
        </is>
      </c>
      <c r="L25" s="21" t="inlineStr"/>
      <c r="M25" s="22" t="inlineStr"/>
      <c r="N25" s="22" t="inlineStr"/>
    </row>
    <row r="26" ht="15" customHeight="1">
      <c r="A26" s="20" t="inlineStr">
        <is>
          <t>cmdSubmitAnother</t>
        </is>
      </c>
      <c r="B26" s="7" t="inlineStr">
        <is>
          <t>cmd</t>
        </is>
      </c>
      <c r="C26" s="7" t="inlineStr">
        <is>
          <t>frSuccess</t>
        </is>
      </c>
      <c r="D26" s="7" t="inlineStr">
        <is>
          <t>Submit Another</t>
        </is>
      </c>
      <c r="E26" s="7" t="inlineStr">
        <is>
          <t>إرسال آخر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Reset form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/>
      <c r="M26" s="22" t="inlineStr"/>
      <c r="N26" s="22" t="inlineStr"/>
    </row>
  </sheetData>
  <mergeCells count="7">
    <mergeCell ref="A6:N6"/>
    <mergeCell ref="A4:N4"/>
    <mergeCell ref="A20:N20"/>
    <mergeCell ref="A24:N24"/>
    <mergeCell ref="A2:N2"/>
    <mergeCell ref="A10:N10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16" t="inlineStr">
        <is>
          <t>frmExpense  —  Employee Expense Claim (Public)  |  /forms/expense</t>
        </is>
      </c>
    </row>
    <row r="2">
      <c r="A2" s="17" t="inlineStr">
        <is>
          <t>Yellow columns = your corrections. Add / rename / delete rows freely.</t>
        </is>
      </c>
    </row>
    <row r="3" ht="32" customHeight="1">
      <c r="A3" s="18" t="inlineStr">
        <is>
          <t>Control Name (VBA)</t>
        </is>
      </c>
      <c r="B3" s="18" t="inlineStr">
        <is>
          <t>Type</t>
        </is>
      </c>
      <c r="C3" s="18" t="inlineStr">
        <is>
          <t>Frame / Section</t>
        </is>
      </c>
      <c r="D3" s="18" t="inlineStr">
        <is>
          <t>Label — English</t>
        </is>
      </c>
      <c r="E3" s="18" t="inlineStr">
        <is>
          <t>Label — Arabic</t>
        </is>
      </c>
      <c r="F3" s="18" t="inlineStr">
        <is>
          <t>Data Source / Table</t>
        </is>
      </c>
      <c r="G3" s="18" t="inlineStr">
        <is>
          <t>Depends On</t>
        </is>
      </c>
      <c r="H3" s="18" t="inlineStr">
        <is>
          <t>Format / Validation</t>
        </is>
      </c>
      <c r="I3" s="18" t="inlineStr">
        <is>
          <t>Required</t>
        </is>
      </c>
      <c r="J3" s="18" t="inlineStr">
        <is>
          <t>Read-Only</t>
        </is>
      </c>
      <c r="K3" s="18" t="inlineStr">
        <is>
          <t>DB Column (current)</t>
        </is>
      </c>
      <c r="L3" s="18" t="inlineStr">
        <is>
          <t>Business Rules / Notes</t>
        </is>
      </c>
      <c r="M3" s="18" t="inlineStr">
        <is>
          <t>✏ Your Correction</t>
        </is>
      </c>
      <c r="N3" s="18" t="inlineStr">
        <is>
          <t>✏ New DB Column</t>
        </is>
      </c>
    </row>
    <row r="4" ht="17" customHeight="1">
      <c r="A4" s="19" t="inlineStr">
        <is>
          <t xml:space="preserve">  ▸  frRequestorInfo  —  Requestor Info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0" t="inlineStr">
        <is>
          <t>tglLanguage</t>
        </is>
      </c>
      <c r="B5" s="21" t="inlineStr">
        <is>
          <t>tgl</t>
        </is>
      </c>
      <c r="C5" s="21" t="inlineStr">
        <is>
          <t>frHeader</t>
        </is>
      </c>
      <c r="D5" s="21" t="inlineStr">
        <is>
          <t>العربية / English</t>
        </is>
      </c>
      <c r="E5" s="21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Toggle RTL/LTR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/>
      <c r="M5" s="22" t="inlineStr"/>
      <c r="N5" s="22" t="inlineStr"/>
    </row>
    <row r="6" ht="15" customHeight="1">
      <c r="A6" s="20" t="inlineStr">
        <is>
          <t>txtDate</t>
        </is>
      </c>
      <c r="B6" s="7" t="inlineStr">
        <is>
          <t>txt</t>
        </is>
      </c>
      <c r="C6" s="7" t="inlineStr">
        <is>
          <t>frRequestorInfo</t>
        </is>
      </c>
      <c r="D6" s="7" t="inlineStr">
        <is>
          <t>Date</t>
        </is>
      </c>
      <c r="E6" s="7" t="inlineStr">
        <is>
          <t>التاريخ</t>
        </is>
      </c>
      <c r="F6" s="7" t="inlineStr">
        <is>
          <t>today()</t>
        </is>
      </c>
      <c r="G6" s="7" t="inlineStr">
        <is>
          <t>—</t>
        </is>
      </c>
      <c r="H6" s="7" t="inlineStr">
        <is>
          <t>DD/MM/YYYY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request_date</t>
        </is>
      </c>
      <c r="L6" s="7" t="inlineStr"/>
      <c r="M6" s="22" t="inlineStr"/>
      <c r="N6" s="22" t="inlineStr"/>
    </row>
    <row r="7" ht="15" customHeight="1">
      <c r="A7" s="20" t="inlineStr">
        <is>
          <t>cboDepartment</t>
        </is>
      </c>
      <c r="B7" s="21" t="inlineStr">
        <is>
          <t>cbo</t>
        </is>
      </c>
      <c r="C7" s="21" t="inlineStr">
        <is>
          <t>frRequestorInfo</t>
        </is>
      </c>
      <c r="D7" s="21" t="inlineStr">
        <is>
          <t>Department *</t>
        </is>
      </c>
      <c r="E7" s="21" t="inlineStr">
        <is>
          <t>القسم *</t>
        </is>
      </c>
      <c r="F7" s="21" t="inlineStr">
        <is>
          <t>departments WHERE is_active=TRUE</t>
        </is>
      </c>
      <c r="G7" s="21" t="inlineStr">
        <is>
          <t>entity_id</t>
        </is>
      </c>
      <c r="H7" s="21" t="inlineStr">
        <is>
          <t>dept_code | UUID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department (needs dept_id FK added)</t>
        </is>
      </c>
      <c r="L7" s="21" t="inlineStr">
        <is>
          <t>Triggers cboEmployee</t>
        </is>
      </c>
      <c r="M7" s="22" t="inlineStr"/>
      <c r="N7" s="22" t="inlineStr"/>
    </row>
    <row r="8" ht="15" customHeight="1">
      <c r="A8" s="20" t="inlineStr">
        <is>
          <t>cboEmployee</t>
        </is>
      </c>
      <c r="B8" s="7" t="inlineStr">
        <is>
          <t>cbo</t>
        </is>
      </c>
      <c r="C8" s="7" t="inlineStr">
        <is>
          <t>frRequestorInfo</t>
        </is>
      </c>
      <c r="D8" s="7" t="inlineStr">
        <is>
          <t>Employee *</t>
        </is>
      </c>
      <c r="E8" s="7" t="inlineStr">
        <is>
          <t>الموظف *</t>
        </is>
      </c>
      <c r="F8" s="7" t="inlineStr">
        <is>
          <t>employees WHERE dept_id=[dept]</t>
        </is>
      </c>
      <c r="G8" s="7" t="inlineStr">
        <is>
          <t>cboDept</t>
        </is>
      </c>
      <c r="H8" s="7" t="inlineStr">
        <is>
          <t>All dept employees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employee_id</t>
        </is>
      </c>
      <c r="L8" s="7" t="inlineStr"/>
      <c r="M8" s="22" t="inlineStr"/>
      <c r="N8" s="22" t="inlineStr"/>
    </row>
    <row r="9" ht="15" customHeight="1">
      <c r="A9" s="20" t="inlineStr">
        <is>
          <t>cboSiteMaster</t>
        </is>
      </c>
      <c r="B9" s="21" t="inlineStr">
        <is>
          <t>cbo</t>
        </is>
      </c>
      <c r="C9" s="21" t="inlineStr">
        <is>
          <t>frRequestorInfo</t>
        </is>
      </c>
      <c r="D9" s="21" t="inlineStr">
        <is>
          <t>Site / Project</t>
        </is>
      </c>
      <c r="E9" s="21" t="inlineStr">
        <is>
          <t>الموقع</t>
        </is>
      </c>
      <c r="F9" s="21" t="inlineStr">
        <is>
          <t>site_masters OR projects</t>
        </is>
      </c>
      <c r="G9" s="21" t="inlineStr">
        <is>
          <t>cboDept</t>
        </is>
      </c>
      <c r="H9" s="21" t="inlineStr">
        <is>
          <t>Optional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site_master_id OR project_id</t>
        </is>
      </c>
      <c r="L9" s="21" t="inlineStr"/>
      <c r="M9" s="22" t="inlineStr"/>
      <c r="N9" s="22" t="inlineStr"/>
    </row>
    <row r="10" ht="17" customHeight="1">
      <c r="A10" s="19" t="inlineStr">
        <is>
          <t xml:space="preserve">  ▸  frExpenseLines  —  Expense Lines  (repeating)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20" t="inlineStr">
        <is>
          <t>cboExpenseType</t>
        </is>
      </c>
      <c r="B11" s="21" t="inlineStr">
        <is>
          <t>cbo</t>
        </is>
      </c>
      <c r="C11" s="21" t="inlineStr">
        <is>
          <t>frExpenseLines</t>
        </is>
      </c>
      <c r="D11" s="21" t="inlineStr">
        <is>
          <t>Expense Type *</t>
        </is>
      </c>
      <c r="E11" s="21" t="inlineStr">
        <is>
          <t>نوع المصروف</t>
        </is>
      </c>
      <c r="F11" s="21" t="inlineStr">
        <is>
          <t>EXPENSE_TYPES — different list from MR</t>
        </is>
      </c>
      <c r="G11" s="21" t="inlineStr">
        <is>
          <t>—</t>
        </is>
      </c>
      <c r="H11" s="21" t="inlineStr">
        <is>
          <t>Travel/Transport|Fuel-Petrol|Fuel-Diesel|Accommodation|Personal Meals|Phone/Internet|Materials &amp; Supplies|Maintenance &amp; Repairs|Office Supplies|Other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expense_type</t>
        </is>
      </c>
      <c r="L11" s="21" t="inlineStr">
        <is>
          <t>EXPENSE-FORM list — not the same as Money Request.</t>
        </is>
      </c>
      <c r="M11" s="22" t="inlineStr"/>
      <c r="N11" s="22" t="inlineStr"/>
    </row>
    <row r="12" ht="15" customHeight="1">
      <c r="A12" s="20" t="inlineStr">
        <is>
          <t>txtDescription</t>
        </is>
      </c>
      <c r="B12" s="7" t="inlineStr">
        <is>
          <t>txt</t>
        </is>
      </c>
      <c r="C12" s="7" t="inlineStr">
        <is>
          <t>frExpenseLines</t>
        </is>
      </c>
      <c r="D12" s="7" t="inlineStr">
        <is>
          <t>Description *</t>
        </is>
      </c>
      <c r="E12" s="7" t="inlineStr">
        <is>
          <t>الوصف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 200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description</t>
        </is>
      </c>
      <c r="L12" s="7" t="inlineStr"/>
      <c r="M12" s="22" t="inlineStr"/>
      <c r="N12" s="22" t="inlineStr"/>
    </row>
    <row r="13" ht="15" customHeight="1">
      <c r="A13" s="20" t="inlineStr">
        <is>
          <t>txtAmount</t>
        </is>
      </c>
      <c r="B13" s="21" t="inlineStr">
        <is>
          <t>txt</t>
        </is>
      </c>
      <c r="C13" s="21" t="inlineStr">
        <is>
          <t>frExpenseLines</t>
        </is>
      </c>
      <c r="D13" s="21" t="inlineStr">
        <is>
          <t>Amount (SAR) *</t>
        </is>
      </c>
      <c r="E13" s="21" t="inlineStr">
        <is>
          <t>المبلغ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#,##0.00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amount</t>
        </is>
      </c>
      <c r="L13" s="21" t="inlineStr"/>
      <c r="M13" s="22" t="inlineStr"/>
      <c r="N13" s="22" t="inlineStr"/>
    </row>
    <row r="14" ht="15" customHeight="1">
      <c r="A14" s="20" t="inlineStr">
        <is>
          <t>chkReceipt</t>
        </is>
      </c>
      <c r="B14" s="7" t="inlineStr">
        <is>
          <t>chk</t>
        </is>
      </c>
      <c r="C14" s="7" t="inlineStr">
        <is>
          <t>frExpenseLines</t>
        </is>
      </c>
      <c r="D14" s="7" t="inlineStr">
        <is>
          <t>Receipt Attached</t>
        </is>
      </c>
      <c r="E14" s="7" t="inlineStr">
        <is>
          <t>إيصال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TRUE/FALSE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has_receipt (NOT IN SCHEMA)</t>
        </is>
      </c>
      <c r="L14" s="7" t="inlineStr">
        <is>
          <t>Shows txtReceiptRef when checked.</t>
        </is>
      </c>
      <c r="M14" s="22" t="inlineStr"/>
      <c r="N14" s="22" t="inlineStr"/>
    </row>
    <row r="15" ht="15" customHeight="1">
      <c r="A15" s="20" t="inlineStr">
        <is>
          <t>txtReceiptRef</t>
        </is>
      </c>
      <c r="B15" s="21" t="inlineStr">
        <is>
          <t>txt</t>
        </is>
      </c>
      <c r="C15" s="21" t="inlineStr">
        <is>
          <t>frExpenseLines</t>
        </is>
      </c>
      <c r="D15" s="21" t="inlineStr">
        <is>
          <t>Receipt Ref #</t>
        </is>
      </c>
      <c r="E15" s="21" t="inlineStr">
        <is>
          <t>رقم الإيصال</t>
        </is>
      </c>
      <c r="F15" s="21" t="inlineStr">
        <is>
          <t>User</t>
        </is>
      </c>
      <c r="G15" s="21" t="inlineStr">
        <is>
          <t>chkReceipt=Y</t>
        </is>
      </c>
      <c r="H15" s="21" t="inlineStr">
        <is>
          <t>Free text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receipt_ref (NOT IN SCHEMA)</t>
        </is>
      </c>
      <c r="L15" s="21" t="inlineStr">
        <is>
          <t>Conditional visibility.</t>
        </is>
      </c>
      <c r="M15" s="22" t="inlineStr"/>
      <c r="N15" s="22" t="inlineStr"/>
    </row>
    <row r="16" ht="15" customHeight="1">
      <c r="A16" s="20" t="inlineStr">
        <is>
          <t>cmdRemoveLine</t>
        </is>
      </c>
      <c r="B16" s="7" t="inlineStr">
        <is>
          <t>cmd</t>
        </is>
      </c>
      <c r="C16" s="7" t="inlineStr">
        <is>
          <t>frExpenseLines</t>
        </is>
      </c>
      <c r="D16" s="7" t="inlineStr">
        <is>
          <t>✕  Remove</t>
        </is>
      </c>
      <c r="E16" s="7" t="inlineStr"/>
      <c r="F16" s="7" t="inlineStr">
        <is>
          <t>—</t>
        </is>
      </c>
      <c r="G16" s="7" t="inlineStr">
        <is>
          <t>—</t>
        </is>
      </c>
      <c r="H16" s="7" t="inlineStr">
        <is>
          <t>Icon btn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/>
      <c r="M16" s="22" t="inlineStr"/>
      <c r="N16" s="22" t="inlineStr"/>
    </row>
    <row r="17" ht="17" customHeight="1">
      <c r="A17" s="19" t="inlineStr">
        <is>
          <t xml:space="preserve">  ▸  frFooter  —  Footer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 t="n"/>
    </row>
    <row r="18" ht="15" customHeight="1">
      <c r="A18" s="20" t="inlineStr">
        <is>
          <t>cmdAddLine</t>
        </is>
      </c>
      <c r="B18" s="7" t="inlineStr">
        <is>
          <t>cmd</t>
        </is>
      </c>
      <c r="C18" s="7" t="inlineStr">
        <is>
          <t>frFooter</t>
        </is>
      </c>
      <c r="D18" s="7" t="inlineStr">
        <is>
          <t>+ Add Expense</t>
        </is>
      </c>
      <c r="E18" s="7" t="inlineStr">
        <is>
          <t>+ إضافة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Dashed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/>
      <c r="M18" s="22" t="inlineStr"/>
      <c r="N18" s="22" t="inlineStr"/>
    </row>
    <row r="19" ht="15" customHeight="1">
      <c r="A19" s="20" t="inlineStr">
        <is>
          <t>txtTotal</t>
        </is>
      </c>
      <c r="B19" s="21" t="inlineStr">
        <is>
          <t>txt</t>
        </is>
      </c>
      <c r="C19" s="21" t="inlineStr">
        <is>
          <t>frFooter</t>
        </is>
      </c>
      <c r="D19" s="21" t="inlineStr">
        <is>
          <t>Total (SAR)</t>
        </is>
      </c>
      <c r="E19" s="21" t="inlineStr">
        <is>
          <t>الإجمالي</t>
        </is>
      </c>
      <c r="F19" s="21" t="inlineStr">
        <is>
          <t>SUM lines</t>
        </is>
      </c>
      <c r="G19" s="21" t="inlineStr">
        <is>
          <t>—</t>
        </is>
      </c>
      <c r="H19" s="21" t="inlineStr">
        <is>
          <t>SAR #,##0.00 | read-only</t>
        </is>
      </c>
      <c r="I19" s="21" t="inlineStr">
        <is>
          <t>—</t>
        </is>
      </c>
      <c r="J19" s="21" t="inlineStr">
        <is>
          <t>Y</t>
        </is>
      </c>
      <c r="K19" s="21" t="inlineStr">
        <is>
          <t>total_amount</t>
        </is>
      </c>
      <c r="L19" s="21" t="inlineStr"/>
      <c r="M19" s="22" t="inlineStr"/>
      <c r="N19" s="22" t="inlineStr"/>
    </row>
    <row r="20" ht="15" customHeight="1">
      <c r="A20" s="20" t="inlineStr">
        <is>
          <t>cmdSubmit</t>
        </is>
      </c>
      <c r="B20" s="7" t="inlineStr">
        <is>
          <t>cmd</t>
        </is>
      </c>
      <c r="C20" s="7" t="inlineStr">
        <is>
          <t>frFooter</t>
        </is>
      </c>
      <c r="D20" s="7" t="inlineStr">
        <is>
          <t>Submit Expense Claim</t>
        </is>
      </c>
      <c r="E20" s="7" t="inlineStr">
        <is>
          <t>إرسال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Primary button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/>
      <c r="M20" s="22" t="inlineStr"/>
      <c r="N20" s="22" t="inlineStr"/>
    </row>
  </sheetData>
  <mergeCells count="5">
    <mergeCell ref="A17:N17"/>
    <mergeCell ref="A4:N4"/>
    <mergeCell ref="A2:N2"/>
    <mergeCell ref="A10:N10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16" t="inlineStr">
        <is>
          <t>frmFoodAllowance  —  Food Allowance (Public)  |  /forms/food-allowance</t>
        </is>
      </c>
    </row>
    <row r="2">
      <c r="A2" s="17" t="inlineStr">
        <is>
          <t>Yellow columns = your corrections. Add / rename / delete rows freely.</t>
        </is>
      </c>
    </row>
    <row r="3" ht="32" customHeight="1">
      <c r="A3" s="18" t="inlineStr">
        <is>
          <t>Control Name (VBA)</t>
        </is>
      </c>
      <c r="B3" s="18" t="inlineStr">
        <is>
          <t>Type</t>
        </is>
      </c>
      <c r="C3" s="18" t="inlineStr">
        <is>
          <t>Frame / Section</t>
        </is>
      </c>
      <c r="D3" s="18" t="inlineStr">
        <is>
          <t>Label — English</t>
        </is>
      </c>
      <c r="E3" s="18" t="inlineStr">
        <is>
          <t>Label — Arabic</t>
        </is>
      </c>
      <c r="F3" s="18" t="inlineStr">
        <is>
          <t>Data Source / Table</t>
        </is>
      </c>
      <c r="G3" s="18" t="inlineStr">
        <is>
          <t>Depends On</t>
        </is>
      </c>
      <c r="H3" s="18" t="inlineStr">
        <is>
          <t>Format / Validation</t>
        </is>
      </c>
      <c r="I3" s="18" t="inlineStr">
        <is>
          <t>Required</t>
        </is>
      </c>
      <c r="J3" s="18" t="inlineStr">
        <is>
          <t>Read-Only</t>
        </is>
      </c>
      <c r="K3" s="18" t="inlineStr">
        <is>
          <t>DB Column (current)</t>
        </is>
      </c>
      <c r="L3" s="18" t="inlineStr">
        <is>
          <t>Business Rules / Notes</t>
        </is>
      </c>
      <c r="M3" s="18" t="inlineStr">
        <is>
          <t>✏ Your Correction</t>
        </is>
      </c>
      <c r="N3" s="18" t="inlineStr">
        <is>
          <t>✏ New DB Column</t>
        </is>
      </c>
    </row>
    <row r="4" ht="17" customHeight="1">
      <c r="A4" s="19" t="inlineStr">
        <is>
          <t xml:space="preserve">  ▸  frRequestorInfo  —  Requestor Info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0" t="inlineStr">
        <is>
          <t>tglLanguage</t>
        </is>
      </c>
      <c r="B5" s="21" t="inlineStr">
        <is>
          <t>tgl</t>
        </is>
      </c>
      <c r="C5" s="21" t="inlineStr">
        <is>
          <t>frHeader</t>
        </is>
      </c>
      <c r="D5" s="21" t="inlineStr">
        <is>
          <t>العربية / English</t>
        </is>
      </c>
      <c r="E5" s="21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Toggle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/>
      <c r="M5" s="22" t="inlineStr"/>
      <c r="N5" s="22" t="inlineStr"/>
    </row>
    <row r="6" ht="15" customHeight="1">
      <c r="A6" s="20" t="inlineStr">
        <is>
          <t>txtDate</t>
        </is>
      </c>
      <c r="B6" s="7" t="inlineStr">
        <is>
          <t>txt</t>
        </is>
      </c>
      <c r="C6" s="7" t="inlineStr">
        <is>
          <t>frRequestorInfo</t>
        </is>
      </c>
      <c r="D6" s="7" t="inlineStr">
        <is>
          <t>Date</t>
        </is>
      </c>
      <c r="E6" s="7" t="inlineStr">
        <is>
          <t>التاريخ</t>
        </is>
      </c>
      <c r="F6" s="7" t="inlineStr">
        <is>
          <t>today()</t>
        </is>
      </c>
      <c r="G6" s="7" t="inlineStr">
        <is>
          <t>—</t>
        </is>
      </c>
      <c r="H6" s="7" t="inlineStr">
        <is>
          <t>DD/MM/YYYY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request_date</t>
        </is>
      </c>
      <c r="L6" s="7" t="inlineStr"/>
      <c r="M6" s="22" t="inlineStr"/>
      <c r="N6" s="22" t="inlineStr"/>
    </row>
    <row r="7" ht="15" customHeight="1">
      <c r="A7" s="20" t="inlineStr">
        <is>
          <t>cboDepartment</t>
        </is>
      </c>
      <c r="B7" s="21" t="inlineStr">
        <is>
          <t>cbo</t>
        </is>
      </c>
      <c r="C7" s="21" t="inlineStr">
        <is>
          <t>frRequestorInfo</t>
        </is>
      </c>
      <c r="D7" s="21" t="inlineStr">
        <is>
          <t>Department *</t>
        </is>
      </c>
      <c r="E7" s="21" t="inlineStr">
        <is>
          <t>القسم *</t>
        </is>
      </c>
      <c r="F7" s="21" t="inlineStr">
        <is>
          <t>departments</t>
        </is>
      </c>
      <c r="G7" s="21" t="inlineStr">
        <is>
          <t>entity_id</t>
        </is>
      </c>
      <c r="H7" s="21" t="inlineStr">
        <is>
          <t>dept_code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department</t>
        </is>
      </c>
      <c r="L7" s="21" t="inlineStr"/>
      <c r="M7" s="22" t="inlineStr"/>
      <c r="N7" s="22" t="inlineStr"/>
    </row>
    <row r="8" ht="15" customHeight="1">
      <c r="A8" s="20" t="inlineStr">
        <is>
          <t>cboEmployee</t>
        </is>
      </c>
      <c r="B8" s="7" t="inlineStr">
        <is>
          <t>cbo</t>
        </is>
      </c>
      <c r="C8" s="7" t="inlineStr">
        <is>
          <t>frRequestorInfo</t>
        </is>
      </c>
      <c r="D8" s="7" t="inlineStr">
        <is>
          <t>Employee *</t>
        </is>
      </c>
      <c r="E8" s="7" t="inlineStr">
        <is>
          <t>الموظف *</t>
        </is>
      </c>
      <c r="F8" s="7" t="inlineStr">
        <is>
          <t>employees WHERE dept_id=[dept]</t>
        </is>
      </c>
      <c r="G8" s="7" t="inlineStr">
        <is>
          <t>cboDept</t>
        </is>
      </c>
      <c r="H8" s="7" t="inlineStr">
        <is>
          <t>All dept employees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employee_id</t>
        </is>
      </c>
      <c r="L8" s="7" t="inlineStr"/>
      <c r="M8" s="22" t="inlineStr"/>
      <c r="N8" s="22" t="inlineStr"/>
    </row>
    <row r="9" ht="15" customHeight="1">
      <c r="A9" s="20" t="inlineStr">
        <is>
          <t>cboSiteMaster</t>
        </is>
      </c>
      <c r="B9" s="21" t="inlineStr">
        <is>
          <t>cbo</t>
        </is>
      </c>
      <c r="C9" s="21" t="inlineStr">
        <is>
          <t>frRequestorInfo</t>
        </is>
      </c>
      <c r="D9" s="21" t="inlineStr">
        <is>
          <t>Site / Location</t>
        </is>
      </c>
      <c r="E9" s="21" t="inlineStr">
        <is>
          <t>الموقع</t>
        </is>
      </c>
      <c r="F9" s="21" t="inlineStr">
        <is>
          <t>site_masters</t>
        </is>
      </c>
      <c r="G9" s="21" t="inlineStr">
        <is>
          <t>cboDept</t>
        </is>
      </c>
      <c r="H9" s="21" t="inlineStr">
        <is>
          <t>Optional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site_master_id</t>
        </is>
      </c>
      <c r="L9" s="21" t="inlineStr"/>
      <c r="M9" s="22" t="inlineStr"/>
      <c r="N9" s="22" t="inlineStr"/>
    </row>
    <row r="10" ht="17" customHeight="1">
      <c r="A10" s="19" t="inlineStr">
        <is>
          <t xml:space="preserve">  ▸  frMealDetails  —  Meal Details  —  Meal Type replaces Expense Type on this form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20" t="inlineStr">
        <is>
          <t>cboMealType</t>
        </is>
      </c>
      <c r="B11" s="21" t="inlineStr">
        <is>
          <t>cbo</t>
        </is>
      </c>
      <c r="C11" s="21" t="inlineStr">
        <is>
          <t>frMealDetails</t>
        </is>
      </c>
      <c r="D11" s="21" t="inlineStr">
        <is>
          <t>Meal Type *</t>
        </is>
      </c>
      <c r="E11" s="21" t="inlineStr">
        <is>
          <t>نوع الوجبة</t>
        </is>
      </c>
      <c r="F11" s="21" t="inlineStr">
        <is>
          <t>Hardcoded</t>
        </is>
      </c>
      <c r="G11" s="21" t="inlineStr">
        <is>
          <t>—</t>
        </is>
      </c>
      <c r="H11" s="21" t="inlineStr">
        <is>
          <t>Breakfast|Lunch|Dinner|Full Day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meal_type</t>
        </is>
      </c>
      <c r="L11" s="21" t="inlineStr">
        <is>
          <t>No expense type field needed.</t>
        </is>
      </c>
      <c r="M11" s="22" t="inlineStr"/>
      <c r="N11" s="22" t="inlineStr"/>
    </row>
    <row r="12" ht="15" customHeight="1">
      <c r="A12" s="20" t="inlineStr">
        <is>
          <t>txtDays</t>
        </is>
      </c>
      <c r="B12" s="7" t="inlineStr">
        <is>
          <t>txt</t>
        </is>
      </c>
      <c r="C12" s="7" t="inlineStr">
        <is>
          <t>frMealDetails</t>
        </is>
      </c>
      <c r="D12" s="7" t="inlineStr">
        <is>
          <t>No. of Days *</t>
        </is>
      </c>
      <c r="E12" s="7" t="inlineStr">
        <is>
          <t>عدد الأيام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Integer ≥ 1 | Default 1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days</t>
        </is>
      </c>
      <c r="L12" s="7" t="inlineStr"/>
      <c r="M12" s="22" t="inlineStr"/>
      <c r="N12" s="22" t="inlineStr"/>
    </row>
    <row r="13" ht="15" customHeight="1">
      <c r="A13" s="20" t="inlineStr">
        <is>
          <t>txtRatePerDay</t>
        </is>
      </c>
      <c r="B13" s="21" t="inlineStr">
        <is>
          <t>txt</t>
        </is>
      </c>
      <c r="C13" s="21" t="inlineStr">
        <is>
          <t>frMealDetails</t>
        </is>
      </c>
      <c r="D13" s="21" t="inlineStr">
        <is>
          <t>Rate / Day (SAR)</t>
        </is>
      </c>
      <c r="E13" s="21" t="inlineStr">
        <is>
          <t>المعدل اليومي</t>
        </is>
      </c>
      <c r="F13" s="21" t="inlineStr">
        <is>
          <t>Config table OR hardcoded per meal type</t>
        </is>
      </c>
      <c r="G13" s="21" t="inlineStr">
        <is>
          <t>cboMealType</t>
        </is>
      </c>
      <c r="H13" s="21" t="inlineStr">
        <is>
          <t>#,##0.00 | read-only</t>
        </is>
      </c>
      <c r="I13" s="21" t="inlineStr">
        <is>
          <t>—</t>
        </is>
      </c>
      <c r="J13" s="21" t="inlineStr">
        <is>
          <t>Y</t>
        </is>
      </c>
      <c r="K13" s="21" t="inlineStr">
        <is>
          <t>rate_per_day (NOT IN SCHEMA — define in config)</t>
        </is>
      </c>
      <c r="L13" s="21" t="inlineStr">
        <is>
          <t>Management to set rates.</t>
        </is>
      </c>
      <c r="M13" s="22" t="inlineStr"/>
      <c r="N13" s="22" t="inlineStr"/>
    </row>
    <row r="14" ht="15" customHeight="1">
      <c r="A14" s="20" t="inlineStr">
        <is>
          <t>txtTotal</t>
        </is>
      </c>
      <c r="B14" s="7" t="inlineStr">
        <is>
          <t>txt</t>
        </is>
      </c>
      <c r="C14" s="7" t="inlineStr">
        <is>
          <t>frMealDetails</t>
        </is>
      </c>
      <c r="D14" s="7" t="inlineStr">
        <is>
          <t>Total (SAR)</t>
        </is>
      </c>
      <c r="E14" s="7" t="inlineStr">
        <is>
          <t>الإجمالي</t>
        </is>
      </c>
      <c r="F14" s="7">
        <f> Days × Rate</f>
        <v/>
      </c>
      <c r="G14" s="7" t="inlineStr">
        <is>
          <t>—</t>
        </is>
      </c>
      <c r="H14" s="7" t="inlineStr">
        <is>
          <t>SAR #,##0.00 | read-only</t>
        </is>
      </c>
      <c r="I14" s="7" t="inlineStr">
        <is>
          <t>—</t>
        </is>
      </c>
      <c r="J14" s="7" t="inlineStr">
        <is>
          <t>Y</t>
        </is>
      </c>
      <c r="K14" s="7" t="inlineStr">
        <is>
          <t>amount</t>
        </is>
      </c>
      <c r="L14" s="7" t="inlineStr"/>
      <c r="M14" s="22" t="inlineStr"/>
      <c r="N14" s="22" t="inlineStr"/>
    </row>
    <row r="15" ht="15" customHeight="1">
      <c r="A15" s="20" t="inlineStr">
        <is>
          <t>txtRemarks</t>
        </is>
      </c>
      <c r="B15" s="21" t="inlineStr">
        <is>
          <t>txt</t>
        </is>
      </c>
      <c r="C15" s="21" t="inlineStr">
        <is>
          <t>frMealDetails</t>
        </is>
      </c>
      <c r="D15" s="21" t="inlineStr">
        <is>
          <t>Remarks</t>
        </is>
      </c>
      <c r="E15" s="21" t="inlineStr">
        <is>
          <t>ملاحظات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Free text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remarks</t>
        </is>
      </c>
      <c r="L15" s="21" t="inlineStr"/>
      <c r="M15" s="22" t="inlineStr"/>
      <c r="N15" s="22" t="inlineStr"/>
    </row>
    <row r="16" ht="17" customHeight="1">
      <c r="A16" s="19" t="inlineStr">
        <is>
          <t xml:space="preserve">  ▸  frFooter  —  Footer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20" t="inlineStr">
        <is>
          <t>cmdSubmit</t>
        </is>
      </c>
      <c r="B17" s="21" t="inlineStr">
        <is>
          <t>cmd</t>
        </is>
      </c>
      <c r="C17" s="21" t="inlineStr">
        <is>
          <t>frFooter</t>
        </is>
      </c>
      <c r="D17" s="21" t="inlineStr">
        <is>
          <t>Submit Food Allowance</t>
        </is>
      </c>
      <c r="E17" s="21" t="inlineStr">
        <is>
          <t>إرسال بدل الطعام</t>
        </is>
      </c>
      <c r="F17" s="21" t="inlineStr">
        <is>
          <t>—</t>
        </is>
      </c>
      <c r="G17" s="21" t="inlineStr">
        <is>
          <t>—</t>
        </is>
      </c>
      <c r="H17" s="21" t="inlineStr">
        <is>
          <t>Primary button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21" t="inlineStr"/>
      <c r="M17" s="22" t="inlineStr"/>
      <c r="N17" s="22" t="inlineStr"/>
    </row>
  </sheetData>
  <mergeCells count="5">
    <mergeCell ref="A4:N4"/>
    <mergeCell ref="A2:N2"/>
    <mergeCell ref="A16:N16"/>
    <mergeCell ref="A10:N10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16" t="inlineStr">
        <is>
          <t>frmOvertime  —  Overtime Request (Public)  |  /forms/overtime</t>
        </is>
      </c>
    </row>
    <row r="2">
      <c r="A2" s="17" t="inlineStr">
        <is>
          <t>Yellow columns = your corrections. Add / rename / delete rows freely.</t>
        </is>
      </c>
    </row>
    <row r="3" ht="32" customHeight="1">
      <c r="A3" s="18" t="inlineStr">
        <is>
          <t>Control Name (VBA)</t>
        </is>
      </c>
      <c r="B3" s="18" t="inlineStr">
        <is>
          <t>Type</t>
        </is>
      </c>
      <c r="C3" s="18" t="inlineStr">
        <is>
          <t>Frame / Section</t>
        </is>
      </c>
      <c r="D3" s="18" t="inlineStr">
        <is>
          <t>Label — English</t>
        </is>
      </c>
      <c r="E3" s="18" t="inlineStr">
        <is>
          <t>Label — Arabic</t>
        </is>
      </c>
      <c r="F3" s="18" t="inlineStr">
        <is>
          <t>Data Source / Table</t>
        </is>
      </c>
      <c r="G3" s="18" t="inlineStr">
        <is>
          <t>Depends On</t>
        </is>
      </c>
      <c r="H3" s="18" t="inlineStr">
        <is>
          <t>Format / Validation</t>
        </is>
      </c>
      <c r="I3" s="18" t="inlineStr">
        <is>
          <t>Required</t>
        </is>
      </c>
      <c r="J3" s="18" t="inlineStr">
        <is>
          <t>Read-Only</t>
        </is>
      </c>
      <c r="K3" s="18" t="inlineStr">
        <is>
          <t>DB Column (current)</t>
        </is>
      </c>
      <c r="L3" s="18" t="inlineStr">
        <is>
          <t>Business Rules / Notes</t>
        </is>
      </c>
      <c r="M3" s="18" t="inlineStr">
        <is>
          <t>✏ Your Correction</t>
        </is>
      </c>
      <c r="N3" s="18" t="inlineStr">
        <is>
          <t>✏ New DB Column</t>
        </is>
      </c>
    </row>
    <row r="4" ht="17" customHeight="1">
      <c r="A4" s="19" t="inlineStr">
        <is>
          <t xml:space="preserve">  ▸  frRequestorInfo  —  Requestor Info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0" t="inlineStr">
        <is>
          <t>tglLanguage</t>
        </is>
      </c>
      <c r="B5" s="21" t="inlineStr">
        <is>
          <t>tgl</t>
        </is>
      </c>
      <c r="C5" s="21" t="inlineStr">
        <is>
          <t>frHeader</t>
        </is>
      </c>
      <c r="D5" s="21" t="inlineStr">
        <is>
          <t>العربية / English</t>
        </is>
      </c>
      <c r="E5" s="21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Toggle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/>
      <c r="M5" s="22" t="inlineStr"/>
      <c r="N5" s="22" t="inlineStr"/>
    </row>
    <row r="6" ht="15" customHeight="1">
      <c r="A6" s="20" t="inlineStr">
        <is>
          <t>txtDate</t>
        </is>
      </c>
      <c r="B6" s="7" t="inlineStr">
        <is>
          <t>txt</t>
        </is>
      </c>
      <c r="C6" s="7" t="inlineStr">
        <is>
          <t>frRequestorInfo</t>
        </is>
      </c>
      <c r="D6" s="7" t="inlineStr">
        <is>
          <t>Date (request submitted)</t>
        </is>
      </c>
      <c r="E6" s="7" t="inlineStr">
        <is>
          <t>التاريخ</t>
        </is>
      </c>
      <c r="F6" s="7" t="inlineStr">
        <is>
          <t>today()</t>
        </is>
      </c>
      <c r="G6" s="7" t="inlineStr">
        <is>
          <t>—</t>
        </is>
      </c>
      <c r="H6" s="7" t="inlineStr">
        <is>
          <t>DD/MM/YYYY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request_date</t>
        </is>
      </c>
      <c r="L6" s="7" t="inlineStr"/>
      <c r="M6" s="22" t="inlineStr"/>
      <c r="N6" s="22" t="inlineStr"/>
    </row>
    <row r="7" ht="15" customHeight="1">
      <c r="A7" s="20" t="inlineStr">
        <is>
          <t>cboDepartment</t>
        </is>
      </c>
      <c r="B7" s="21" t="inlineStr">
        <is>
          <t>cbo</t>
        </is>
      </c>
      <c r="C7" s="21" t="inlineStr">
        <is>
          <t>frRequestorInfo</t>
        </is>
      </c>
      <c r="D7" s="21" t="inlineStr">
        <is>
          <t>Department *</t>
        </is>
      </c>
      <c r="E7" s="21" t="inlineStr">
        <is>
          <t>القسم *</t>
        </is>
      </c>
      <c r="F7" s="21" t="inlineStr">
        <is>
          <t>departments</t>
        </is>
      </c>
      <c r="G7" s="21" t="inlineStr">
        <is>
          <t>entity_id</t>
        </is>
      </c>
      <c r="H7" s="21" t="inlineStr">
        <is>
          <t>dept_code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department</t>
        </is>
      </c>
      <c r="L7" s="21" t="inlineStr"/>
      <c r="M7" s="22" t="inlineStr"/>
      <c r="N7" s="22" t="inlineStr"/>
    </row>
    <row r="8" ht="15" customHeight="1">
      <c r="A8" s="20" t="inlineStr">
        <is>
          <t>cboEmployee</t>
        </is>
      </c>
      <c r="B8" s="7" t="inlineStr">
        <is>
          <t>cbo</t>
        </is>
      </c>
      <c r="C8" s="7" t="inlineStr">
        <is>
          <t>frRequestorInfo</t>
        </is>
      </c>
      <c r="D8" s="7" t="inlineStr">
        <is>
          <t>Employee *</t>
        </is>
      </c>
      <c r="E8" s="7" t="inlineStr">
        <is>
          <t>الموظف *</t>
        </is>
      </c>
      <c r="F8" s="7" t="inlineStr">
        <is>
          <t>employees WHERE dept_id=[dept]</t>
        </is>
      </c>
      <c r="G8" s="7" t="inlineStr">
        <is>
          <t>cboDept</t>
        </is>
      </c>
      <c r="H8" s="7" t="inlineStr">
        <is>
          <t>All dept employees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employee_id</t>
        </is>
      </c>
      <c r="L8" s="7" t="inlineStr"/>
      <c r="M8" s="22" t="inlineStr"/>
      <c r="N8" s="22" t="inlineStr"/>
    </row>
    <row r="9" ht="15" customHeight="1">
      <c r="A9" s="20" t="inlineStr">
        <is>
          <t>cboSiteMaster</t>
        </is>
      </c>
      <c r="B9" s="21" t="inlineStr">
        <is>
          <t>cbo</t>
        </is>
      </c>
      <c r="C9" s="21" t="inlineStr">
        <is>
          <t>frRequestorInfo</t>
        </is>
      </c>
      <c r="D9" s="21" t="inlineStr">
        <is>
          <t>Site / Project</t>
        </is>
      </c>
      <c r="E9" s="21" t="inlineStr">
        <is>
          <t>الموقع</t>
        </is>
      </c>
      <c r="F9" s="21" t="inlineStr">
        <is>
          <t>site_masters</t>
        </is>
      </c>
      <c r="G9" s="21" t="inlineStr">
        <is>
          <t>cboDept</t>
        </is>
      </c>
      <c r="H9" s="21" t="inlineStr">
        <is>
          <t>Optional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site_master_id</t>
        </is>
      </c>
      <c r="L9" s="21" t="inlineStr"/>
      <c r="M9" s="22" t="inlineStr"/>
      <c r="N9" s="22" t="inlineStr"/>
    </row>
    <row r="10" ht="17" customHeight="1">
      <c r="A10" s="19" t="inlineStr">
        <is>
          <t xml:space="preserve">  ▸  frOTDetails  —  Overtime Details  —  No IBAN, no expense type, no amount field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20" t="inlineStr">
        <is>
          <t>txtOTDate</t>
        </is>
      </c>
      <c r="B11" s="21" t="inlineStr">
        <is>
          <t>txt</t>
        </is>
      </c>
      <c r="C11" s="21" t="inlineStr">
        <is>
          <t>frOTDetails</t>
        </is>
      </c>
      <c r="D11" s="21" t="inlineStr">
        <is>
          <t>Overtime Date *</t>
        </is>
      </c>
      <c r="E11" s="21" t="inlineStr">
        <is>
          <t>تاريخ الإضافي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DD/MM/YYYY  (can differ from request date)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overtime_date</t>
        </is>
      </c>
      <c r="L11" s="21" t="inlineStr">
        <is>
          <t>Weekend or public holiday date.</t>
        </is>
      </c>
      <c r="M11" s="22" t="inlineStr"/>
      <c r="N11" s="22" t="inlineStr"/>
    </row>
    <row r="12" ht="15" customHeight="1">
      <c r="A12" s="20" t="inlineStr">
        <is>
          <t>txtTimeFrom</t>
        </is>
      </c>
      <c r="B12" s="7" t="inlineStr">
        <is>
          <t>txt</t>
        </is>
      </c>
      <c r="C12" s="7" t="inlineStr">
        <is>
          <t>frOTDetails</t>
        </is>
      </c>
      <c r="D12" s="7" t="inlineStr">
        <is>
          <t>Time From *</t>
        </is>
      </c>
      <c r="E12" s="7" t="inlineStr">
        <is>
          <t>من الساعة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HH:MM  24-hour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time_from</t>
        </is>
      </c>
      <c r="L12" s="7" t="inlineStr"/>
      <c r="M12" s="22" t="inlineStr"/>
      <c r="N12" s="22" t="inlineStr"/>
    </row>
    <row r="13" ht="15" customHeight="1">
      <c r="A13" s="20" t="inlineStr">
        <is>
          <t>txtTimeTo</t>
        </is>
      </c>
      <c r="B13" s="21" t="inlineStr">
        <is>
          <t>txt</t>
        </is>
      </c>
      <c r="C13" s="21" t="inlineStr">
        <is>
          <t>frOTDetails</t>
        </is>
      </c>
      <c r="D13" s="21" t="inlineStr">
        <is>
          <t>Time To *</t>
        </is>
      </c>
      <c r="E13" s="21" t="inlineStr">
        <is>
          <t>إلى الساعة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HH:MM  24-hour | &gt; txtTimeFrom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time_to</t>
        </is>
      </c>
      <c r="L13" s="21" t="inlineStr"/>
      <c r="M13" s="22" t="inlineStr"/>
      <c r="N13" s="22" t="inlineStr"/>
    </row>
    <row r="14" ht="15" customHeight="1">
      <c r="A14" s="20" t="inlineStr">
        <is>
          <t>txtTotalHours</t>
        </is>
      </c>
      <c r="B14" s="7" t="inlineStr">
        <is>
          <t>txt</t>
        </is>
      </c>
      <c r="C14" s="7" t="inlineStr">
        <is>
          <t>frOTDetails</t>
        </is>
      </c>
      <c r="D14" s="7" t="inlineStr">
        <is>
          <t>Total Hours</t>
        </is>
      </c>
      <c r="E14" s="7" t="inlineStr">
        <is>
          <t>إجمالي الساعات</t>
        </is>
      </c>
      <c r="F14" s="7">
        <f> TimeTo − TimeFrom</f>
        <v/>
      </c>
      <c r="G14" s="7" t="inlineStr">
        <is>
          <t>txtTimeFrom + txtTimeTo</t>
        </is>
      </c>
      <c r="H14" s="7" t="inlineStr">
        <is>
          <t>#,##0.00 | read-only</t>
        </is>
      </c>
      <c r="I14" s="7" t="inlineStr">
        <is>
          <t>—</t>
        </is>
      </c>
      <c r="J14" s="7" t="inlineStr">
        <is>
          <t>Y</t>
        </is>
      </c>
      <c r="K14" s="7" t="inlineStr">
        <is>
          <t>total_hours</t>
        </is>
      </c>
      <c r="L14" s="7" t="inlineStr">
        <is>
          <t>Auto-calculated.</t>
        </is>
      </c>
      <c r="M14" s="22" t="inlineStr"/>
      <c r="N14" s="22" t="inlineStr"/>
    </row>
    <row r="15" ht="15" customHeight="1">
      <c r="A15" s="20" t="inlineStr">
        <is>
          <t>cboOTReason</t>
        </is>
      </c>
      <c r="B15" s="21" t="inlineStr">
        <is>
          <t>cbo</t>
        </is>
      </c>
      <c r="C15" s="21" t="inlineStr">
        <is>
          <t>frOTDetails</t>
        </is>
      </c>
      <c r="D15" s="21" t="inlineStr">
        <is>
          <t>Overtime Reason *</t>
        </is>
      </c>
      <c r="E15" s="21" t="inlineStr">
        <is>
          <t>سبب الإضافي</t>
        </is>
      </c>
      <c r="F15" s="21" t="inlineStr">
        <is>
          <t>Hardcoded</t>
        </is>
      </c>
      <c r="G15" s="21" t="inlineStr">
        <is>
          <t>—</t>
        </is>
      </c>
      <c r="H15" s="21" t="inlineStr">
        <is>
          <t>Project Deadline|Emergency|Client Request|Special Assignment|Other</t>
        </is>
      </c>
      <c r="I15" s="21" t="inlineStr">
        <is>
          <t>Y</t>
        </is>
      </c>
      <c r="J15" s="21" t="inlineStr">
        <is>
          <t>N</t>
        </is>
      </c>
      <c r="K15" s="21" t="inlineStr">
        <is>
          <t>reason (NOT IN SCHEMA — add)</t>
        </is>
      </c>
      <c r="L15" s="21" t="inlineStr"/>
      <c r="M15" s="22" t="inlineStr"/>
      <c r="N15" s="22" t="inlineStr"/>
    </row>
    <row r="16" ht="15" customHeight="1">
      <c r="A16" s="20" t="inlineStr">
        <is>
          <t>txtRemarks</t>
        </is>
      </c>
      <c r="B16" s="7" t="inlineStr">
        <is>
          <t>txt</t>
        </is>
      </c>
      <c r="C16" s="7" t="inlineStr">
        <is>
          <t>frOTDetails</t>
        </is>
      </c>
      <c r="D16" s="7" t="inlineStr">
        <is>
          <t>Remarks</t>
        </is>
      </c>
      <c r="E16" s="7" t="inlineStr">
        <is>
          <t>ملاحظات</t>
        </is>
      </c>
      <c r="F16" s="7" t="inlineStr">
        <is>
          <t>User</t>
        </is>
      </c>
      <c r="G16" s="7" t="inlineStr">
        <is>
          <t>—</t>
        </is>
      </c>
      <c r="H16" s="7" t="inlineStr">
        <is>
          <t>Free text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remarks</t>
        </is>
      </c>
      <c r="L16" s="7" t="inlineStr"/>
      <c r="M16" s="22" t="inlineStr"/>
      <c r="N16" s="22" t="inlineStr"/>
    </row>
    <row r="17" ht="17" customHeight="1">
      <c r="A17" s="19" t="inlineStr">
        <is>
          <t xml:space="preserve">  ▸  frFooter  —  Footer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 t="n"/>
    </row>
    <row r="18" ht="15" customHeight="1">
      <c r="A18" s="20" t="inlineStr">
        <is>
          <t>cmdSubmit</t>
        </is>
      </c>
      <c r="B18" s="7" t="inlineStr">
        <is>
          <t>cmd</t>
        </is>
      </c>
      <c r="C18" s="7" t="inlineStr">
        <is>
          <t>frFooter</t>
        </is>
      </c>
      <c r="D18" s="7" t="inlineStr">
        <is>
          <t>Submit OT Request</t>
        </is>
      </c>
      <c r="E18" s="7" t="inlineStr">
        <is>
          <t>إرسال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Primary button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/>
      <c r="M18" s="22" t="inlineStr"/>
      <c r="N18" s="22" t="inlineStr"/>
    </row>
  </sheetData>
  <mergeCells count="5">
    <mergeCell ref="A17:N17"/>
    <mergeCell ref="A4:N4"/>
    <mergeCell ref="A2:N2"/>
    <mergeCell ref="A10:N10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16" t="inlineStr">
        <is>
          <t>frmPORequest  —  PO Request (Public)  |  /forms/po-request</t>
        </is>
      </c>
    </row>
    <row r="2">
      <c r="A2" s="17" t="inlineStr">
        <is>
          <t>Yellow columns = your corrections. Add / rename / delete rows freely.</t>
        </is>
      </c>
    </row>
    <row r="3" ht="32" customHeight="1">
      <c r="A3" s="18" t="inlineStr">
        <is>
          <t>Control Name (VBA)</t>
        </is>
      </c>
      <c r="B3" s="18" t="inlineStr">
        <is>
          <t>Type</t>
        </is>
      </c>
      <c r="C3" s="18" t="inlineStr">
        <is>
          <t>Frame / Section</t>
        </is>
      </c>
      <c r="D3" s="18" t="inlineStr">
        <is>
          <t>Label — English</t>
        </is>
      </c>
      <c r="E3" s="18" t="inlineStr">
        <is>
          <t>Label — Arabic</t>
        </is>
      </c>
      <c r="F3" s="18" t="inlineStr">
        <is>
          <t>Data Source / Table</t>
        </is>
      </c>
      <c r="G3" s="18" t="inlineStr">
        <is>
          <t>Depends On</t>
        </is>
      </c>
      <c r="H3" s="18" t="inlineStr">
        <is>
          <t>Format / Validation</t>
        </is>
      </c>
      <c r="I3" s="18" t="inlineStr">
        <is>
          <t>Required</t>
        </is>
      </c>
      <c r="J3" s="18" t="inlineStr">
        <is>
          <t>Read-Only</t>
        </is>
      </c>
      <c r="K3" s="18" t="inlineStr">
        <is>
          <t>DB Column (current)</t>
        </is>
      </c>
      <c r="L3" s="18" t="inlineStr">
        <is>
          <t>Business Rules / Notes</t>
        </is>
      </c>
      <c r="M3" s="18" t="inlineStr">
        <is>
          <t>✏ Your Correction</t>
        </is>
      </c>
      <c r="N3" s="18" t="inlineStr">
        <is>
          <t>✏ New DB Column</t>
        </is>
      </c>
    </row>
    <row r="4" ht="17" customHeight="1">
      <c r="A4" s="19" t="inlineStr">
        <is>
          <t xml:space="preserve">  ▸  frRequestorInfo  —  Requestor Info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0" t="inlineStr">
        <is>
          <t>tglLanguage</t>
        </is>
      </c>
      <c r="B5" s="21" t="inlineStr">
        <is>
          <t>tgl</t>
        </is>
      </c>
      <c r="C5" s="21" t="inlineStr">
        <is>
          <t>frHeader</t>
        </is>
      </c>
      <c r="D5" s="21" t="inlineStr">
        <is>
          <t>العربية / English</t>
        </is>
      </c>
      <c r="E5" s="21" t="inlineStr">
        <is>
          <t>—</t>
        </is>
      </c>
      <c r="F5" s="21" t="inlineStr">
        <is>
          <t>—</t>
        </is>
      </c>
      <c r="G5" s="21" t="inlineStr">
        <is>
          <t>—</t>
        </is>
      </c>
      <c r="H5" s="21" t="inlineStr">
        <is>
          <t>Toggle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/>
      <c r="M5" s="22" t="inlineStr"/>
      <c r="N5" s="22" t="inlineStr"/>
    </row>
    <row r="6" ht="15" customHeight="1">
      <c r="A6" s="20" t="inlineStr">
        <is>
          <t>txtDate</t>
        </is>
      </c>
      <c r="B6" s="7" t="inlineStr">
        <is>
          <t>txt</t>
        </is>
      </c>
      <c r="C6" s="7" t="inlineStr">
        <is>
          <t>frRequestorInfo</t>
        </is>
      </c>
      <c r="D6" s="7" t="inlineStr">
        <is>
          <t>Date</t>
        </is>
      </c>
      <c r="E6" s="7" t="inlineStr">
        <is>
          <t>التاريخ</t>
        </is>
      </c>
      <c r="F6" s="7" t="inlineStr">
        <is>
          <t>today()</t>
        </is>
      </c>
      <c r="G6" s="7" t="inlineStr">
        <is>
          <t>—</t>
        </is>
      </c>
      <c r="H6" s="7" t="inlineStr">
        <is>
          <t>DD/MM/YYYY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request_date</t>
        </is>
      </c>
      <c r="L6" s="7" t="inlineStr"/>
      <c r="M6" s="22" t="inlineStr"/>
      <c r="N6" s="22" t="inlineStr"/>
    </row>
    <row r="7" ht="15" customHeight="1">
      <c r="A7" s="20" t="inlineStr">
        <is>
          <t>cboDepartment</t>
        </is>
      </c>
      <c r="B7" s="21" t="inlineStr">
        <is>
          <t>cbo</t>
        </is>
      </c>
      <c r="C7" s="21" t="inlineStr">
        <is>
          <t>frRequestorInfo</t>
        </is>
      </c>
      <c r="D7" s="21" t="inlineStr">
        <is>
          <t>Department *</t>
        </is>
      </c>
      <c r="E7" s="21" t="inlineStr">
        <is>
          <t>القسم *</t>
        </is>
      </c>
      <c r="F7" s="21" t="inlineStr">
        <is>
          <t>departments</t>
        </is>
      </c>
      <c r="G7" s="21" t="inlineStr">
        <is>
          <t>entity_id</t>
        </is>
      </c>
      <c r="H7" s="21" t="inlineStr">
        <is>
          <t>dept_code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department_id</t>
        </is>
      </c>
      <c r="L7" s="21" t="inlineStr"/>
      <c r="M7" s="22" t="inlineStr"/>
      <c r="N7" s="22" t="inlineStr"/>
    </row>
    <row r="8" ht="15" customHeight="1">
      <c r="A8" s="20" t="inlineStr">
        <is>
          <t>cboRequestor</t>
        </is>
      </c>
      <c r="B8" s="7" t="inlineStr">
        <is>
          <t>cbo</t>
        </is>
      </c>
      <c r="C8" s="7" t="inlineStr">
        <is>
          <t>frRequestorInfo</t>
        </is>
      </c>
      <c r="D8" s="7" t="inlineStr">
        <is>
          <t>Requested By *</t>
        </is>
      </c>
      <c r="E8" s="7" t="inlineStr">
        <is>
          <t>مقدم الطلب *</t>
        </is>
      </c>
      <c r="F8" s="7" t="inlineStr">
        <is>
          <t>employees (DH/PM/Supervisor)</t>
        </is>
      </c>
      <c r="G8" s="7" t="inlineStr">
        <is>
          <t>cboDept</t>
        </is>
      </c>
      <c r="H8" s="7" t="inlineStr">
        <is>
          <t>Two-tier fetch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requested_by</t>
        </is>
      </c>
      <c r="L8" s="7" t="inlineStr"/>
      <c r="M8" s="22" t="inlineStr"/>
      <c r="N8" s="22" t="inlineStr"/>
    </row>
    <row r="9" ht="15" customHeight="1">
      <c r="A9" s="20" t="inlineStr">
        <is>
          <t>cboSupplierType</t>
        </is>
      </c>
      <c r="B9" s="21" t="inlineStr">
        <is>
          <t>cbo</t>
        </is>
      </c>
      <c r="C9" s="21" t="inlineStr">
        <is>
          <t>frRequestorInfo</t>
        </is>
      </c>
      <c r="D9" s="21" t="inlineStr">
        <is>
          <t>Supplier Type *</t>
        </is>
      </c>
      <c r="E9" s="21" t="inlineStr">
        <is>
          <t>نوع المورد</t>
        </is>
      </c>
      <c r="F9" s="21" t="inlineStr">
        <is>
          <t>Hardcoded</t>
        </is>
      </c>
      <c r="G9" s="21" t="inlineStr">
        <is>
          <t>—</t>
        </is>
      </c>
      <c r="H9" s="21" t="inlineStr">
        <is>
          <t>CONTRACTOR|SUPPLIER|VENDOR|SUB_CONTRACTOR|LOCAL_SUPPLIER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supplier_type</t>
        </is>
      </c>
      <c r="L9" s="21" t="inlineStr">
        <is>
          <t>Triggers cboSupplier filter.</t>
        </is>
      </c>
      <c r="M9" s="22" t="inlineStr"/>
      <c r="N9" s="22" t="inlineStr"/>
    </row>
    <row r="10" ht="15" customHeight="1">
      <c r="A10" s="20" t="inlineStr">
        <is>
          <t>cboSupplier</t>
        </is>
      </c>
      <c r="B10" s="7" t="inlineStr">
        <is>
          <t>cbo</t>
        </is>
      </c>
      <c r="C10" s="7" t="inlineStr">
        <is>
          <t>frRequestorInfo</t>
        </is>
      </c>
      <c r="D10" s="7" t="inlineStr">
        <is>
          <t>Supplier *</t>
        </is>
      </c>
      <c r="E10" s="7" t="inlineStr">
        <is>
          <t>المورد</t>
        </is>
      </c>
      <c r="F10" s="7" t="inlineStr">
        <is>
          <t>contractors WHERE vendor_type=[type] AND entity_id=[session]</t>
        </is>
      </c>
      <c r="G10" s="7" t="inlineStr">
        <is>
          <t>cboSupplierType</t>
        </is>
      </c>
      <c r="H10" s="7" t="inlineStr">
        <is>
          <t>contractor_name | UUID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supplier_id (contractor_id)</t>
        </is>
      </c>
      <c r="L10" s="7" t="inlineStr"/>
      <c r="M10" s="22" t="inlineStr"/>
      <c r="N10" s="22" t="inlineStr"/>
    </row>
    <row r="11" ht="15" customHeight="1">
      <c r="A11" s="20" t="inlineStr">
        <is>
          <t>cboProjectNo</t>
        </is>
      </c>
      <c r="B11" s="21" t="inlineStr">
        <is>
          <t>cbo</t>
        </is>
      </c>
      <c r="C11" s="21" t="inlineStr">
        <is>
          <t>frRequestorInfo</t>
        </is>
      </c>
      <c r="D11" s="21" t="inlineStr">
        <is>
          <t>Project No</t>
        </is>
      </c>
      <c r="E11" s="21" t="inlineStr">
        <is>
          <t>رقم المشروع</t>
        </is>
      </c>
      <c r="F11" s="21" t="inlineStr">
        <is>
          <t>projects WHERE ACTIVE</t>
        </is>
      </c>
      <c r="G11" s="21" t="inlineStr">
        <is>
          <t>cboDept</t>
        </is>
      </c>
      <c r="H11" s="21" t="inlineStr">
        <is>
          <t>Optional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project_id</t>
        </is>
      </c>
      <c r="L11" s="21" t="inlineStr"/>
      <c r="M11" s="22" t="inlineStr"/>
      <c r="N11" s="22" t="inlineStr"/>
    </row>
    <row r="12" ht="17" customHeight="1">
      <c r="A12" s="19" t="inlineStr">
        <is>
          <t xml:space="preserve">  ▸  frPOLines  —  PO Line Items  (repeating)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</row>
    <row r="13" ht="15" customHeight="1">
      <c r="A13" s="20" t="inlineStr">
        <is>
          <t>txtItemDescription</t>
        </is>
      </c>
      <c r="B13" s="21" t="inlineStr">
        <is>
          <t>txt</t>
        </is>
      </c>
      <c r="C13" s="21" t="inlineStr">
        <is>
          <t>frPOLines</t>
        </is>
      </c>
      <c r="D13" s="21" t="inlineStr">
        <is>
          <t>Item Description *</t>
        </is>
      </c>
      <c r="E13" s="21" t="inlineStr">
        <is>
          <t>وصف الصنف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 300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description</t>
        </is>
      </c>
      <c r="L13" s="21" t="inlineStr"/>
      <c r="M13" s="22" t="inlineStr"/>
      <c r="N13" s="22" t="inlineStr"/>
    </row>
    <row r="14" ht="15" customHeight="1">
      <c r="A14" s="20" t="inlineStr">
        <is>
          <t>txtQuantity</t>
        </is>
      </c>
      <c r="B14" s="7" t="inlineStr">
        <is>
          <t>txt</t>
        </is>
      </c>
      <c r="C14" s="7" t="inlineStr">
        <is>
          <t>frPOLines</t>
        </is>
      </c>
      <c r="D14" s="7" t="inlineStr">
        <is>
          <t>Quantity *</t>
        </is>
      </c>
      <c r="E14" s="7" t="inlineStr">
        <is>
          <t>الكمية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#,##0.00 | &gt;0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quantity</t>
        </is>
      </c>
      <c r="L14" s="7" t="inlineStr"/>
      <c r="M14" s="22" t="inlineStr"/>
      <c r="N14" s="22" t="inlineStr"/>
    </row>
    <row r="15" ht="15" customHeight="1">
      <c r="A15" s="20" t="inlineStr">
        <is>
          <t>cboUnit</t>
        </is>
      </c>
      <c r="B15" s="21" t="inlineStr">
        <is>
          <t>cbo</t>
        </is>
      </c>
      <c r="C15" s="21" t="inlineStr">
        <is>
          <t>frPOLines</t>
        </is>
      </c>
      <c r="D15" s="21" t="inlineStr">
        <is>
          <t>Unit *</t>
        </is>
      </c>
      <c r="E15" s="21" t="inlineStr">
        <is>
          <t>الوحدة</t>
        </is>
      </c>
      <c r="F15" s="21" t="inlineStr">
        <is>
          <t>Hardcoded</t>
        </is>
      </c>
      <c r="G15" s="21" t="inlineStr">
        <is>
          <t>—</t>
        </is>
      </c>
      <c r="H15" s="21" t="inlineStr">
        <is>
          <t>Nos|Meters|KG|Liters|Hours|Lump Sum</t>
        </is>
      </c>
      <c r="I15" s="21" t="inlineStr">
        <is>
          <t>Y</t>
        </is>
      </c>
      <c r="J15" s="21" t="inlineStr">
        <is>
          <t>N</t>
        </is>
      </c>
      <c r="K15" s="21" t="inlineStr">
        <is>
          <t>unit (NOT IN SCHEMA)</t>
        </is>
      </c>
      <c r="L15" s="21" t="inlineStr"/>
      <c r="M15" s="22" t="inlineStr"/>
      <c r="N15" s="22" t="inlineStr"/>
    </row>
    <row r="16" ht="15" customHeight="1">
      <c r="A16" s="20" t="inlineStr">
        <is>
          <t>txtUnitPrice</t>
        </is>
      </c>
      <c r="B16" s="7" t="inlineStr">
        <is>
          <t>txt</t>
        </is>
      </c>
      <c r="C16" s="7" t="inlineStr">
        <is>
          <t>frPOLines</t>
        </is>
      </c>
      <c r="D16" s="7" t="inlineStr">
        <is>
          <t>Unit Price (SAR) *</t>
        </is>
      </c>
      <c r="E16" s="7" t="inlineStr">
        <is>
          <t>سعر الوحدة</t>
        </is>
      </c>
      <c r="F16" s="7" t="inlineStr">
        <is>
          <t>User</t>
        </is>
      </c>
      <c r="G16" s="7" t="inlineStr">
        <is>
          <t>—</t>
        </is>
      </c>
      <c r="H16" s="7" t="inlineStr">
        <is>
          <t>#,##0.00</t>
        </is>
      </c>
      <c r="I16" s="7" t="inlineStr">
        <is>
          <t>Y</t>
        </is>
      </c>
      <c r="J16" s="7" t="inlineStr">
        <is>
          <t>N</t>
        </is>
      </c>
      <c r="K16" s="7" t="inlineStr">
        <is>
          <t>unit_price</t>
        </is>
      </c>
      <c r="L16" s="7" t="inlineStr"/>
      <c r="M16" s="22" t="inlineStr"/>
      <c r="N16" s="22" t="inlineStr"/>
    </row>
    <row r="17" ht="15" customHeight="1">
      <c r="A17" s="20" t="inlineStr">
        <is>
          <t>txtLineTotal</t>
        </is>
      </c>
      <c r="B17" s="21" t="inlineStr">
        <is>
          <t>txt</t>
        </is>
      </c>
      <c r="C17" s="21" t="inlineStr">
        <is>
          <t>frPOLines</t>
        </is>
      </c>
      <c r="D17" s="21" t="inlineStr">
        <is>
          <t>Line Total</t>
        </is>
      </c>
      <c r="E17" s="21" t="inlineStr">
        <is>
          <t>الإجمالي</t>
        </is>
      </c>
      <c r="F17" s="21">
        <f> Qty × UnitPrice</f>
        <v/>
      </c>
      <c r="G17" s="21" t="inlineStr">
        <is>
          <t>—</t>
        </is>
      </c>
      <c r="H17" s="21" t="inlineStr">
        <is>
          <t>SAR #,##0.00 | read-only</t>
        </is>
      </c>
      <c r="I17" s="21" t="inlineStr">
        <is>
          <t>—</t>
        </is>
      </c>
      <c r="J17" s="21" t="inlineStr">
        <is>
          <t>Y</t>
        </is>
      </c>
      <c r="K17" s="21" t="inlineStr">
        <is>
          <t>total_price (computed)</t>
        </is>
      </c>
      <c r="L17" s="21" t="inlineStr"/>
      <c r="M17" s="22" t="inlineStr"/>
      <c r="N17" s="22" t="inlineStr"/>
    </row>
    <row r="18" ht="15" customHeight="1">
      <c r="A18" s="20" t="inlineStr">
        <is>
          <t>txtRemarks</t>
        </is>
      </c>
      <c r="B18" s="7" t="inlineStr">
        <is>
          <t>txt</t>
        </is>
      </c>
      <c r="C18" s="7" t="inlineStr">
        <is>
          <t>frPOLines</t>
        </is>
      </c>
      <c r="D18" s="7" t="inlineStr">
        <is>
          <t>Remarks</t>
        </is>
      </c>
      <c r="E18" s="7" t="inlineStr">
        <is>
          <t>ملاحظات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Free text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remarks</t>
        </is>
      </c>
      <c r="L18" s="7" t="inlineStr"/>
      <c r="M18" s="22" t="inlineStr"/>
      <c r="N18" s="22" t="inlineStr"/>
    </row>
    <row r="19" ht="15" customHeight="1">
      <c r="A19" s="20" t="inlineStr">
        <is>
          <t>cmdRemoveLine</t>
        </is>
      </c>
      <c r="B19" s="21" t="inlineStr">
        <is>
          <t>cmd</t>
        </is>
      </c>
      <c r="C19" s="21" t="inlineStr">
        <is>
          <t>frPOLines</t>
        </is>
      </c>
      <c r="D19" s="21" t="inlineStr">
        <is>
          <t>✕  Remove</t>
        </is>
      </c>
      <c r="E19" s="21" t="inlineStr"/>
      <c r="F19" s="21" t="inlineStr">
        <is>
          <t>—</t>
        </is>
      </c>
      <c r="G19" s="21" t="inlineStr">
        <is>
          <t>—</t>
        </is>
      </c>
      <c r="H19" s="21" t="inlineStr">
        <is>
          <t>Icon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/>
      <c r="M19" s="22" t="inlineStr"/>
      <c r="N19" s="22" t="inlineStr"/>
    </row>
    <row r="20" ht="17" customHeight="1">
      <c r="A20" s="19" t="inlineStr">
        <is>
          <t xml:space="preserve">  ▸  frFooter  —  Footer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</row>
    <row r="21" ht="15" customHeight="1">
      <c r="A21" s="20" t="inlineStr">
        <is>
          <t>cmdAddLine</t>
        </is>
      </c>
      <c r="B21" s="21" t="inlineStr">
        <is>
          <t>cmd</t>
        </is>
      </c>
      <c r="C21" s="21" t="inlineStr">
        <is>
          <t>frFooter</t>
        </is>
      </c>
      <c r="D21" s="21" t="inlineStr">
        <is>
          <t>+ Add Item</t>
        </is>
      </c>
      <c r="E21" s="21" t="inlineStr">
        <is>
          <t>+ إضافة صنف</t>
        </is>
      </c>
      <c r="F21" s="21" t="inlineStr">
        <is>
          <t>—</t>
        </is>
      </c>
      <c r="G21" s="21" t="inlineStr">
        <is>
          <t>—</t>
        </is>
      </c>
      <c r="H21" s="21" t="inlineStr">
        <is>
          <t>Dashed button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1" t="inlineStr"/>
      <c r="M21" s="22" t="inlineStr"/>
      <c r="N21" s="22" t="inlineStr"/>
    </row>
    <row r="22" ht="15" customHeight="1">
      <c r="A22" s="20" t="inlineStr">
        <is>
          <t>txtGrandTotal</t>
        </is>
      </c>
      <c r="B22" s="7" t="inlineStr">
        <is>
          <t>txt</t>
        </is>
      </c>
      <c r="C22" s="7" t="inlineStr">
        <is>
          <t>frFooter</t>
        </is>
      </c>
      <c r="D22" s="7" t="inlineStr">
        <is>
          <t>Grand Total (SAR)</t>
        </is>
      </c>
      <c r="E22" s="7" t="inlineStr">
        <is>
          <t>الإجمالي الكلي</t>
        </is>
      </c>
      <c r="F22" s="7" t="inlineStr">
        <is>
          <t>SUM lines</t>
        </is>
      </c>
      <c r="G22" s="7" t="inlineStr">
        <is>
          <t>—</t>
        </is>
      </c>
      <c r="H22" s="7" t="inlineStr">
        <is>
          <t>SAR #,##0.00 | read-only</t>
        </is>
      </c>
      <c r="I22" s="7" t="inlineStr">
        <is>
          <t>—</t>
        </is>
      </c>
      <c r="J22" s="7" t="inlineStr">
        <is>
          <t>Y</t>
        </is>
      </c>
      <c r="K22" s="7" t="inlineStr">
        <is>
          <t>total_amount</t>
        </is>
      </c>
      <c r="L22" s="7" t="inlineStr"/>
      <c r="M22" s="22" t="inlineStr"/>
      <c r="N22" s="22" t="inlineStr"/>
    </row>
    <row r="23" ht="15" customHeight="1">
      <c r="A23" s="20" t="inlineStr">
        <is>
          <t>cmdSubmit</t>
        </is>
      </c>
      <c r="B23" s="21" t="inlineStr">
        <is>
          <t>cmd</t>
        </is>
      </c>
      <c r="C23" s="21" t="inlineStr">
        <is>
          <t>frFooter</t>
        </is>
      </c>
      <c r="D23" s="21" t="inlineStr">
        <is>
          <t>Submit PO Request</t>
        </is>
      </c>
      <c r="E23" s="21" t="inlineStr">
        <is>
          <t>إرسال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Primary button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/>
      <c r="M23" s="22" t="inlineStr"/>
      <c r="N23" s="22" t="inlineStr"/>
    </row>
  </sheetData>
  <mergeCells count="5">
    <mergeCell ref="A12:N12"/>
    <mergeCell ref="A4:N4"/>
    <mergeCell ref="A20:N20"/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5" t="inlineStr">
        <is>
          <t>frmField_Portal  —  QR Field Forms (4 forms)  |  /field</t>
        </is>
      </c>
    </row>
    <row r="2">
      <c r="A2" s="17" t="inlineStr">
        <is>
          <t>Yellow columns = your corrections.</t>
        </is>
      </c>
    </row>
    <row r="3" ht="32" customHeight="1">
      <c r="A3" s="26" t="inlineStr">
        <is>
          <t>Control Name (VBA)</t>
        </is>
      </c>
      <c r="B3" s="26" t="inlineStr">
        <is>
          <t>Type</t>
        </is>
      </c>
      <c r="C3" s="26" t="inlineStr">
        <is>
          <t>Frame / Section</t>
        </is>
      </c>
      <c r="D3" s="26" t="inlineStr">
        <is>
          <t>Label — English</t>
        </is>
      </c>
      <c r="E3" s="26" t="inlineStr">
        <is>
          <t>Label — Arabic</t>
        </is>
      </c>
      <c r="F3" s="26" t="inlineStr">
        <is>
          <t>Data Source / Table</t>
        </is>
      </c>
      <c r="G3" s="26" t="inlineStr">
        <is>
          <t>Depends On</t>
        </is>
      </c>
      <c r="H3" s="26" t="inlineStr">
        <is>
          <t>Format / Validation</t>
        </is>
      </c>
      <c r="I3" s="26" t="inlineStr">
        <is>
          <t>Required</t>
        </is>
      </c>
      <c r="J3" s="26" t="inlineStr">
        <is>
          <t>Read-Only</t>
        </is>
      </c>
      <c r="K3" s="26" t="inlineStr">
        <is>
          <t>DB Column (current)</t>
        </is>
      </c>
      <c r="L3" s="26" t="inlineStr">
        <is>
          <t>Business Rules / Notes</t>
        </is>
      </c>
      <c r="M3" s="26" t="inlineStr">
        <is>
          <t>✏ Your Correction</t>
        </is>
      </c>
      <c r="N3" s="26" t="inlineStr">
        <is>
          <t>✏ New DB Column</t>
        </is>
      </c>
    </row>
    <row r="4" ht="17" customHeight="1">
      <c r="A4" s="27" t="inlineStr">
        <is>
          <t xml:space="preserve">  ▸  frFieldExpense  —  FieldExpense — Submit expense + receipt photo via QR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28" t="inlineStr">
        <is>
          <t>tglMode</t>
        </is>
      </c>
      <c r="B5" s="21" t="inlineStr">
        <is>
          <t>tgl</t>
        </is>
      </c>
      <c r="C5" s="21" t="inlineStr">
        <is>
          <t>frFieldExpense</t>
        </is>
      </c>
      <c r="D5" s="21" t="inlineStr">
        <is>
          <t>Mode: EXPENSE / RECEIVING</t>
        </is>
      </c>
      <c r="E5" s="21" t="inlineStr">
        <is>
          <t>—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Toggle button</t>
        </is>
      </c>
      <c r="I5" s="21" t="inlineStr">
        <is>
          <t>Y</t>
        </is>
      </c>
      <c r="J5" s="21" t="inlineStr">
        <is>
          <t>—</t>
        </is>
      </c>
      <c r="K5" s="21" t="inlineStr">
        <is>
          <t>mode</t>
        </is>
      </c>
      <c r="L5" s="21" t="inlineStr">
        <is>
          <t>EXPENSE = claim. RECEIVING = delivery confirmation.</t>
        </is>
      </c>
      <c r="M5" s="22" t="inlineStr"/>
      <c r="N5" s="22" t="inlineStr"/>
    </row>
    <row r="6" ht="15" customHeight="1">
      <c r="A6" s="28" t="inlineStr">
        <is>
          <t>imgPhoto</t>
        </is>
      </c>
      <c r="B6" s="7" t="inlineStr">
        <is>
          <t>cmd</t>
        </is>
      </c>
      <c r="C6" s="7" t="inlineStr">
        <is>
          <t>frFieldExpense</t>
        </is>
      </c>
      <c r="D6" s="7" t="inlineStr">
        <is>
          <t>📷  Take / Upload Receipt Photo</t>
        </is>
      </c>
      <c r="E6" s="7" t="inlineStr">
        <is>
          <t>—</t>
        </is>
      </c>
      <c r="F6" s="7" t="inlineStr">
        <is>
          <t>Camera/file picker</t>
        </is>
      </c>
      <c r="G6" s="7" t="inlineStr">
        <is>
          <t>—</t>
        </is>
      </c>
      <c r="H6" s="7" t="inlineStr">
        <is>
          <t>JPEG/PNG | Required for EXPENSE mode</t>
        </is>
      </c>
      <c r="I6" s="7" t="inlineStr">
        <is>
          <t>Y</t>
        </is>
      </c>
      <c r="J6" s="7" t="inlineStr">
        <is>
          <t>—</t>
        </is>
      </c>
      <c r="K6" s="7" t="inlineStr">
        <is>
          <t>photo_url (Supabase Storage)</t>
        </is>
      </c>
      <c r="L6" s="7" t="inlineStr"/>
      <c r="M6" s="22" t="inlineStr"/>
      <c r="N6" s="22" t="inlineStr"/>
    </row>
    <row r="7" ht="15" customHeight="1">
      <c r="A7" s="28" t="inlineStr">
        <is>
          <t>txtVatNo</t>
        </is>
      </c>
      <c r="B7" s="21" t="inlineStr">
        <is>
          <t>txt</t>
        </is>
      </c>
      <c r="C7" s="21" t="inlineStr">
        <is>
          <t>frFieldExpense</t>
        </is>
      </c>
      <c r="D7" s="21" t="inlineStr">
        <is>
          <t>VAT / Invoice #</t>
        </is>
      </c>
      <c r="E7" s="21" t="inlineStr">
        <is>
          <t>—</t>
        </is>
      </c>
      <c r="F7" s="21" t="inlineStr">
        <is>
          <t>User entry</t>
        </is>
      </c>
      <c r="G7" s="21" t="inlineStr">
        <is>
          <t>—</t>
        </is>
      </c>
      <c r="H7" s="21" t="inlineStr">
        <is>
          <t>Free text</t>
        </is>
      </c>
      <c r="I7" s="21" t="inlineStr">
        <is>
          <t>N</t>
        </is>
      </c>
      <c r="J7" s="21" t="inlineStr">
        <is>
          <t>—</t>
        </is>
      </c>
      <c r="K7" s="21" t="inlineStr">
        <is>
          <t>vat_no</t>
        </is>
      </c>
      <c r="L7" s="21" t="inlineStr">
        <is>
          <t>Supplier invoice ref</t>
        </is>
      </c>
      <c r="M7" s="22" t="inlineStr"/>
      <c r="N7" s="22" t="inlineStr"/>
    </row>
    <row r="8" ht="15" customHeight="1">
      <c r="A8" s="28" t="inlineStr">
        <is>
          <t>cboExpenseType</t>
        </is>
      </c>
      <c r="B8" s="7" t="inlineStr">
        <is>
          <t>cbo</t>
        </is>
      </c>
      <c r="C8" s="7" t="inlineStr">
        <is>
          <t>frFieldExpense</t>
        </is>
      </c>
      <c r="D8" s="7" t="inlineStr">
        <is>
          <t>Expense Type</t>
        </is>
      </c>
      <c r="E8" s="7" t="inlineStr">
        <is>
          <t>—</t>
        </is>
      </c>
      <c r="F8" s="7" t="inlineStr">
        <is>
          <t>FIELD_EXPENSE_TYPES (hardcoded)</t>
        </is>
      </c>
      <c r="G8" s="7" t="inlineStr">
        <is>
          <t>—</t>
        </is>
      </c>
      <c r="H8" s="7" t="inlineStr">
        <is>
          <t>Fuel-Petrol|Fuel-Diesel|Meals|Materials|Transport|Maintenance|Other</t>
        </is>
      </c>
      <c r="I8" s="7" t="inlineStr">
        <is>
          <t>Y</t>
        </is>
      </c>
      <c r="J8" s="7" t="inlineStr">
        <is>
          <t>—</t>
        </is>
      </c>
      <c r="K8" s="7" t="inlineStr">
        <is>
          <t>expense_type</t>
        </is>
      </c>
      <c r="L8" s="7" t="inlineStr">
        <is>
          <t>Simplified field list</t>
        </is>
      </c>
      <c r="M8" s="22" t="inlineStr"/>
      <c r="N8" s="22" t="inlineStr"/>
    </row>
    <row r="9" ht="15" customHeight="1">
      <c r="A9" s="28" t="inlineStr">
        <is>
          <t>txtAmount</t>
        </is>
      </c>
      <c r="B9" s="21" t="inlineStr">
        <is>
          <t>txt</t>
        </is>
      </c>
      <c r="C9" s="21" t="inlineStr">
        <is>
          <t>frFieldExpense</t>
        </is>
      </c>
      <c r="D9" s="21" t="inlineStr">
        <is>
          <t>Amount (SAR)</t>
        </is>
      </c>
      <c r="E9" s="21" t="inlineStr">
        <is>
          <t>—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#,##0.00</t>
        </is>
      </c>
      <c r="I9" s="21" t="inlineStr">
        <is>
          <t>Y</t>
        </is>
      </c>
      <c r="J9" s="21" t="inlineStr">
        <is>
          <t>—</t>
        </is>
      </c>
      <c r="K9" s="21" t="inlineStr">
        <is>
          <t>amount</t>
        </is>
      </c>
      <c r="L9" s="21" t="inlineStr"/>
      <c r="M9" s="22" t="inlineStr"/>
      <c r="N9" s="22" t="inlineStr"/>
    </row>
    <row r="10" ht="15" customHeight="1">
      <c r="A10" s="28" t="inlineStr">
        <is>
          <t>txtNotes</t>
        </is>
      </c>
      <c r="B10" s="7" t="inlineStr">
        <is>
          <t>txt</t>
        </is>
      </c>
      <c r="C10" s="7" t="inlineStr">
        <is>
          <t>frFieldExpense</t>
        </is>
      </c>
      <c r="D10" s="7" t="inlineStr">
        <is>
          <t>Notes</t>
        </is>
      </c>
      <c r="E10" s="7" t="inlineStr">
        <is>
          <t>—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—</t>
        </is>
      </c>
      <c r="K10" s="7" t="inlineStr">
        <is>
          <t>notes</t>
        </is>
      </c>
      <c r="L10" s="7" t="inlineStr"/>
      <c r="M10" s="22" t="inlineStr"/>
      <c r="N10" s="22" t="inlineStr"/>
    </row>
    <row r="11" ht="15" customHeight="1">
      <c r="A11" s="28" t="inlineStr">
        <is>
          <t>cmdSubmit</t>
        </is>
      </c>
      <c r="B11" s="21" t="inlineStr">
        <is>
          <t>cmd</t>
        </is>
      </c>
      <c r="C11" s="21" t="inlineStr">
        <is>
          <t>frFieldExpense</t>
        </is>
      </c>
      <c r="D11" s="21" t="inlineStr">
        <is>
          <t>Submit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Full-width button</t>
        </is>
      </c>
      <c r="I11" s="21" t="inlineStr">
        <is>
          <t>—</t>
        </is>
      </c>
      <c r="J11" s="21" t="inlineStr">
        <is>
          <t>—</t>
        </is>
      </c>
      <c r="K11" s="21" t="inlineStr">
        <is>
          <t>—</t>
        </is>
      </c>
      <c r="L11" s="21" t="inlineStr">
        <is>
          <t>Uploads photo. Inserts record. Shows confirmation.</t>
        </is>
      </c>
      <c r="M11" s="22" t="inlineStr"/>
      <c r="N11" s="22" t="inlineStr"/>
    </row>
    <row r="12" ht="17" customHeight="1">
      <c r="A12" s="27" t="inlineStr">
        <is>
          <t xml:space="preserve">  ▸  frFieldFood  —  FieldFood — Food Allowance (simplified field version)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</row>
    <row r="13" ht="15" customHeight="1">
      <c r="A13" s="28" t="inlineStr">
        <is>
          <t>cboMealType</t>
        </is>
      </c>
      <c r="B13" s="21" t="inlineStr">
        <is>
          <t>cbo</t>
        </is>
      </c>
      <c r="C13" s="21" t="inlineStr">
        <is>
          <t>frFieldFood</t>
        </is>
      </c>
      <c r="D13" s="21" t="inlineStr">
        <is>
          <t>Meal Type</t>
        </is>
      </c>
      <c r="E13" s="21" t="inlineStr">
        <is>
          <t>—</t>
        </is>
      </c>
      <c r="F13" s="21" t="inlineStr">
        <is>
          <t>Hardcoded</t>
        </is>
      </c>
      <c r="G13" s="21" t="inlineStr">
        <is>
          <t>—</t>
        </is>
      </c>
      <c r="H13" s="21" t="inlineStr">
        <is>
          <t>Breakfast|Lunch|Dinner|Full Day</t>
        </is>
      </c>
      <c r="I13" s="21" t="inlineStr">
        <is>
          <t>Y</t>
        </is>
      </c>
      <c r="J13" s="21" t="inlineStr">
        <is>
          <t>—</t>
        </is>
      </c>
      <c r="K13" s="21" t="inlineStr">
        <is>
          <t>meal_type</t>
        </is>
      </c>
      <c r="L13" s="21" t="inlineStr"/>
      <c r="M13" s="22" t="inlineStr"/>
      <c r="N13" s="22" t="inlineStr"/>
    </row>
    <row r="14" ht="15" customHeight="1">
      <c r="A14" s="28" t="inlineStr">
        <is>
          <t>txtAmount</t>
        </is>
      </c>
      <c r="B14" s="7" t="inlineStr">
        <is>
          <t>txt</t>
        </is>
      </c>
      <c r="C14" s="7" t="inlineStr">
        <is>
          <t>frFieldFood</t>
        </is>
      </c>
      <c r="D14" s="7" t="inlineStr">
        <is>
          <t>Amount (SAR)</t>
        </is>
      </c>
      <c r="E14" s="7" t="inlineStr">
        <is>
          <t>—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#,##0.00</t>
        </is>
      </c>
      <c r="I14" s="7" t="inlineStr">
        <is>
          <t>Y</t>
        </is>
      </c>
      <c r="J14" s="7" t="inlineStr">
        <is>
          <t>—</t>
        </is>
      </c>
      <c r="K14" s="7" t="inlineStr">
        <is>
          <t>amount</t>
        </is>
      </c>
      <c r="L14" s="7" t="inlineStr"/>
      <c r="M14" s="22" t="inlineStr"/>
      <c r="N14" s="22" t="inlineStr"/>
    </row>
    <row r="15" ht="15" customHeight="1">
      <c r="A15" s="28" t="inlineStr">
        <is>
          <t>txtNotes</t>
        </is>
      </c>
      <c r="B15" s="21" t="inlineStr">
        <is>
          <t>txt</t>
        </is>
      </c>
      <c r="C15" s="21" t="inlineStr">
        <is>
          <t>frFieldFood</t>
        </is>
      </c>
      <c r="D15" s="21" t="inlineStr">
        <is>
          <t>Notes</t>
        </is>
      </c>
      <c r="E15" s="21" t="inlineStr">
        <is>
          <t>—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Free text</t>
        </is>
      </c>
      <c r="I15" s="21" t="inlineStr">
        <is>
          <t>N</t>
        </is>
      </c>
      <c r="J15" s="21" t="inlineStr">
        <is>
          <t>—</t>
        </is>
      </c>
      <c r="K15" s="21" t="inlineStr">
        <is>
          <t>notes</t>
        </is>
      </c>
      <c r="L15" s="21" t="inlineStr"/>
      <c r="M15" s="22" t="inlineStr"/>
      <c r="N15" s="22" t="inlineStr"/>
    </row>
    <row r="16" ht="15" customHeight="1">
      <c r="A16" s="28" t="inlineStr">
        <is>
          <t>cmdSubmit</t>
        </is>
      </c>
      <c r="B16" s="7" t="inlineStr">
        <is>
          <t>cmd</t>
        </is>
      </c>
      <c r="C16" s="7" t="inlineStr">
        <is>
          <t>frFieldFood</t>
        </is>
      </c>
      <c r="D16" s="7" t="inlineStr">
        <is>
          <t>Submit</t>
        </is>
      </c>
      <c r="E16" s="7" t="inlineStr">
        <is>
          <t>—</t>
        </is>
      </c>
      <c r="F16" s="7" t="inlineStr">
        <is>
          <t>—</t>
        </is>
      </c>
      <c r="G16" s="7" t="inlineStr">
        <is>
          <t>—</t>
        </is>
      </c>
      <c r="H16" s="7" t="inlineStr">
        <is>
          <t>Button</t>
        </is>
      </c>
      <c r="I16" s="7" t="inlineStr">
        <is>
          <t>—</t>
        </is>
      </c>
      <c r="J16" s="7" t="inlineStr">
        <is>
          <t>—</t>
        </is>
      </c>
      <c r="K16" s="7" t="inlineStr">
        <is>
          <t>—</t>
        </is>
      </c>
      <c r="L16" s="7" t="inlineStr"/>
      <c r="M16" s="22" t="inlineStr"/>
      <c r="N16" s="22" t="inlineStr"/>
    </row>
    <row r="17" ht="17" customHeight="1">
      <c r="A17" s="27" t="inlineStr">
        <is>
          <t xml:space="preserve">  ▸  frFieldOT  —  FieldOvertime — Punch in/out via QR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 t="n"/>
    </row>
    <row r="18" ht="15" customHeight="1">
      <c r="A18" s="28" t="inlineStr">
        <is>
          <t>txtTimeFrom</t>
        </is>
      </c>
      <c r="B18" s="7" t="inlineStr">
        <is>
          <t>txt</t>
        </is>
      </c>
      <c r="C18" s="7" t="inlineStr">
        <is>
          <t>frFieldOT</t>
        </is>
      </c>
      <c r="D18" s="7" t="inlineStr">
        <is>
          <t>Time From</t>
        </is>
      </c>
      <c r="E18" s="7" t="inlineStr">
        <is>
          <t>—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HH:MM 24h</t>
        </is>
      </c>
      <c r="I18" s="7" t="inlineStr">
        <is>
          <t>Y</t>
        </is>
      </c>
      <c r="J18" s="7" t="inlineStr">
        <is>
          <t>—</t>
        </is>
      </c>
      <c r="K18" s="7" t="inlineStr">
        <is>
          <t>time_from</t>
        </is>
      </c>
      <c r="L18" s="7" t="inlineStr"/>
      <c r="M18" s="22" t="inlineStr"/>
      <c r="N18" s="22" t="inlineStr"/>
    </row>
    <row r="19" ht="15" customHeight="1">
      <c r="A19" s="28" t="inlineStr">
        <is>
          <t>txtTimeTo</t>
        </is>
      </c>
      <c r="B19" s="21" t="inlineStr">
        <is>
          <t>txt</t>
        </is>
      </c>
      <c r="C19" s="21" t="inlineStr">
        <is>
          <t>frFieldOT</t>
        </is>
      </c>
      <c r="D19" s="21" t="inlineStr">
        <is>
          <t>Time To</t>
        </is>
      </c>
      <c r="E19" s="21" t="inlineStr">
        <is>
          <t>—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HH:MM 24h | &gt; TimeFrom</t>
        </is>
      </c>
      <c r="I19" s="21" t="inlineStr">
        <is>
          <t>Y</t>
        </is>
      </c>
      <c r="J19" s="21" t="inlineStr">
        <is>
          <t>—</t>
        </is>
      </c>
      <c r="K19" s="21" t="inlineStr">
        <is>
          <t>time_to</t>
        </is>
      </c>
      <c r="L19" s="21" t="inlineStr"/>
      <c r="M19" s="22" t="inlineStr"/>
      <c r="N19" s="22" t="inlineStr"/>
    </row>
    <row r="20" ht="15" customHeight="1">
      <c r="A20" s="28" t="inlineStr">
        <is>
          <t>txtTotalHours</t>
        </is>
      </c>
      <c r="B20" s="7" t="inlineStr">
        <is>
          <t>txt</t>
        </is>
      </c>
      <c r="C20" s="7" t="inlineStr">
        <is>
          <t>frFieldOT</t>
        </is>
      </c>
      <c r="D20" s="7" t="inlineStr">
        <is>
          <t>Total Hours</t>
        </is>
      </c>
      <c r="E20" s="7" t="inlineStr">
        <is>
          <t>—</t>
        </is>
      </c>
      <c r="F20" s="7" t="inlineStr">
        <is>
          <t>Auto</t>
        </is>
      </c>
      <c r="G20" s="7" t="inlineStr">
        <is>
          <t>txtTimeFrom+txtTimeTo</t>
        </is>
      </c>
      <c r="H20" s="7" t="inlineStr">
        <is>
          <t>#,##0.00 | read-only</t>
        </is>
      </c>
      <c r="I20" s="7" t="inlineStr">
        <is>
          <t>—</t>
        </is>
      </c>
      <c r="J20" s="7" t="inlineStr">
        <is>
          <t>Y</t>
        </is>
      </c>
      <c r="K20" s="7" t="inlineStr">
        <is>
          <t>total_hours</t>
        </is>
      </c>
      <c r="L20" s="7" t="inlineStr"/>
      <c r="M20" s="22" t="inlineStr"/>
      <c r="N20" s="22" t="inlineStr"/>
    </row>
    <row r="21" ht="15" customHeight="1">
      <c r="A21" s="28" t="inlineStr">
        <is>
          <t>txtNotes</t>
        </is>
      </c>
      <c r="B21" s="21" t="inlineStr">
        <is>
          <t>txt</t>
        </is>
      </c>
      <c r="C21" s="21" t="inlineStr">
        <is>
          <t>frFieldOT</t>
        </is>
      </c>
      <c r="D21" s="21" t="inlineStr">
        <is>
          <t>Notes</t>
        </is>
      </c>
      <c r="E21" s="21" t="inlineStr">
        <is>
          <t>—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Free text</t>
        </is>
      </c>
      <c r="I21" s="21" t="inlineStr">
        <is>
          <t>N</t>
        </is>
      </c>
      <c r="J21" s="21" t="inlineStr">
        <is>
          <t>—</t>
        </is>
      </c>
      <c r="K21" s="21" t="inlineStr">
        <is>
          <t>notes</t>
        </is>
      </c>
      <c r="L21" s="21" t="inlineStr"/>
      <c r="M21" s="22" t="inlineStr"/>
      <c r="N21" s="22" t="inlineStr"/>
    </row>
    <row r="22" ht="15" customHeight="1">
      <c r="A22" s="28" t="inlineStr">
        <is>
          <t>cmdSubmit</t>
        </is>
      </c>
      <c r="B22" s="7" t="inlineStr">
        <is>
          <t>cmd</t>
        </is>
      </c>
      <c r="C22" s="7" t="inlineStr">
        <is>
          <t>frFieldOT</t>
        </is>
      </c>
      <c r="D22" s="7" t="inlineStr">
        <is>
          <t>Submit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Button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/>
      <c r="M22" s="22" t="inlineStr"/>
      <c r="N22" s="22" t="inlineStr"/>
    </row>
    <row r="23" ht="17" customHeight="1">
      <c r="A23" s="27" t="inlineStr">
        <is>
          <t xml:space="preserve">  ▸  frFieldSite  —  FieldSiteStatus — Daily site inspection checklist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4" t="n"/>
    </row>
    <row r="24" ht="15" customHeight="1">
      <c r="A24" s="28" t="inlineStr">
        <is>
          <t>chkList</t>
        </is>
      </c>
      <c r="B24" s="7" t="inlineStr">
        <is>
          <t>chk</t>
        </is>
      </c>
      <c r="C24" s="7" t="inlineStr">
        <is>
          <t>frFieldSite</t>
        </is>
      </c>
      <c r="D24" s="7" t="inlineStr">
        <is>
          <t>Checklist Items (multiple)</t>
        </is>
      </c>
      <c r="E24" s="7" t="inlineStr">
        <is>
          <t>—</t>
        </is>
      </c>
      <c r="F24" s="7" t="inlineStr">
        <is>
          <t>site_masters.checklist_items for that site</t>
        </is>
      </c>
      <c r="G24" s="7" t="inlineStr">
        <is>
          <t>scanned site QR</t>
        </is>
      </c>
      <c r="H24" s="7" t="inlineStr">
        <is>
          <t>Dynamic per site — multiple checkboxes</t>
        </is>
      </c>
      <c r="I24" s="7" t="inlineStr">
        <is>
          <t>Y</t>
        </is>
      </c>
      <c r="J24" s="7" t="inlineStr">
        <is>
          <t>—</t>
        </is>
      </c>
      <c r="K24" s="7" t="inlineStr">
        <is>
          <t>checked (JSON: {item_id: bool})</t>
        </is>
      </c>
      <c r="L24" s="7" t="inlineStr">
        <is>
          <t>Items defined per site.</t>
        </is>
      </c>
      <c r="M24" s="22" t="inlineStr"/>
      <c r="N24" s="22" t="inlineStr"/>
    </row>
    <row r="25" ht="15" customHeight="1">
      <c r="A25" s="28" t="inlineStr">
        <is>
          <t>imgPhoto</t>
        </is>
      </c>
      <c r="B25" s="21" t="inlineStr">
        <is>
          <t>cmd</t>
        </is>
      </c>
      <c r="C25" s="21" t="inlineStr">
        <is>
          <t>frFieldSite</t>
        </is>
      </c>
      <c r="D25" s="21" t="inlineStr">
        <is>
          <t>📷  Site Photo</t>
        </is>
      </c>
      <c r="E25" s="21" t="inlineStr">
        <is>
          <t>—</t>
        </is>
      </c>
      <c r="F25" s="21" t="inlineStr">
        <is>
          <t>Camera/file</t>
        </is>
      </c>
      <c r="G25" s="21" t="inlineStr">
        <is>
          <t>—</t>
        </is>
      </c>
      <c r="H25" s="21" t="inlineStr">
        <is>
          <t>Image | Optional</t>
        </is>
      </c>
      <c r="I25" s="21" t="inlineStr">
        <is>
          <t>N</t>
        </is>
      </c>
      <c r="J25" s="21" t="inlineStr">
        <is>
          <t>—</t>
        </is>
      </c>
      <c r="K25" s="21" t="inlineStr">
        <is>
          <t>photo_url</t>
        </is>
      </c>
      <c r="L25" s="21" t="inlineStr"/>
      <c r="M25" s="22" t="inlineStr"/>
      <c r="N25" s="22" t="inlineStr"/>
    </row>
    <row r="26" ht="15" customHeight="1">
      <c r="A26" s="28" t="inlineStr">
        <is>
          <t>txtNotes</t>
        </is>
      </c>
      <c r="B26" s="7" t="inlineStr">
        <is>
          <t>txt</t>
        </is>
      </c>
      <c r="C26" s="7" t="inlineStr">
        <is>
          <t>frFieldSite</t>
        </is>
      </c>
      <c r="D26" s="7" t="inlineStr">
        <is>
          <t>Notes / Issues</t>
        </is>
      </c>
      <c r="E26" s="7" t="inlineStr">
        <is>
          <t>—</t>
        </is>
      </c>
      <c r="F26" s="7" t="inlineStr">
        <is>
          <t>User</t>
        </is>
      </c>
      <c r="G26" s="7" t="inlineStr">
        <is>
          <t>—</t>
        </is>
      </c>
      <c r="H26" s="7" t="inlineStr">
        <is>
          <t>Free text</t>
        </is>
      </c>
      <c r="I26" s="7" t="inlineStr">
        <is>
          <t>N</t>
        </is>
      </c>
      <c r="J26" s="7" t="inlineStr">
        <is>
          <t>—</t>
        </is>
      </c>
      <c r="K26" s="7" t="inlineStr">
        <is>
          <t>notes</t>
        </is>
      </c>
      <c r="L26" s="7" t="inlineStr"/>
      <c r="M26" s="22" t="inlineStr"/>
      <c r="N26" s="22" t="inlineStr"/>
    </row>
    <row r="27" ht="15" customHeight="1">
      <c r="A27" s="28" t="inlineStr">
        <is>
          <t>cmdSubmit</t>
        </is>
      </c>
      <c r="B27" s="21" t="inlineStr">
        <is>
          <t>cmd</t>
        </is>
      </c>
      <c r="C27" s="21" t="inlineStr">
        <is>
          <t>frFieldSite</t>
        </is>
      </c>
      <c r="D27" s="21" t="inlineStr">
        <is>
          <t>Submit Status</t>
        </is>
      </c>
      <c r="E27" s="21" t="inlineStr">
        <is>
          <t>—</t>
        </is>
      </c>
      <c r="F27" s="21" t="inlineStr">
        <is>
          <t>—</t>
        </is>
      </c>
      <c r="G27" s="21" t="inlineStr">
        <is>
          <t>—</t>
        </is>
      </c>
      <c r="H27" s="21" t="inlineStr">
        <is>
          <t>Button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—</t>
        </is>
      </c>
      <c r="L27" s="21" t="inlineStr">
        <is>
          <t>Saves to field_site_reports. Telegram to PM.</t>
        </is>
      </c>
      <c r="M27" s="22" t="inlineStr"/>
      <c r="N27" s="22" t="inlineStr"/>
    </row>
  </sheetData>
  <mergeCells count="6">
    <mergeCell ref="A17:N17"/>
    <mergeCell ref="A12:N12"/>
    <mergeCell ref="A4:N4"/>
    <mergeCell ref="A2:N2"/>
    <mergeCell ref="A23:N2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frmDepartments  —  Department Master  |  App → Masters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frDeptForm  —  Add / Edit Department 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txtCode</t>
        </is>
      </c>
      <c r="B5" s="21" t="inlineStr">
        <is>
          <t>txt</t>
        </is>
      </c>
      <c r="C5" s="21" t="inlineStr">
        <is>
          <t>frDeptForm</t>
        </is>
      </c>
      <c r="D5" s="21" t="inlineStr">
        <is>
          <t>Dept Code *</t>
        </is>
      </c>
      <c r="E5" s="21" t="inlineStr">
        <is>
          <t>كود القسم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4-6 chars e.g. TISU | NISU | CISU | ITSU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dept_code</t>
        </is>
      </c>
      <c r="L5" s="21" t="inlineStr">
        <is>
          <t>Used as display label in all dropdowns.</t>
        </is>
      </c>
      <c r="M5" s="22" t="inlineStr"/>
      <c r="N5" s="22" t="inlineStr"/>
    </row>
    <row r="6" ht="15" customHeight="1">
      <c r="A6" s="32" t="inlineStr">
        <is>
          <t>txtName</t>
        </is>
      </c>
      <c r="B6" s="7" t="inlineStr">
        <is>
          <t>txt</t>
        </is>
      </c>
      <c r="C6" s="7" t="inlineStr">
        <is>
          <t>frDeptForm</t>
        </is>
      </c>
      <c r="D6" s="7" t="inlineStr">
        <is>
          <t>Dept Name *</t>
        </is>
      </c>
      <c r="E6" s="7" t="inlineStr">
        <is>
          <t>اسم القسم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Full name e.g. Telecom Infrastructure Service Unit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dept_name</t>
        </is>
      </c>
      <c r="L6" s="7" t="inlineStr"/>
      <c r="M6" s="22" t="inlineStr"/>
      <c r="N6" s="22" t="inlineStr"/>
    </row>
    <row r="7" ht="15" customHeight="1">
      <c r="A7" s="32" t="inlineStr">
        <is>
          <t>txtDescription</t>
        </is>
      </c>
      <c r="B7" s="21" t="inlineStr">
        <is>
          <t>txt</t>
        </is>
      </c>
      <c r="C7" s="21" t="inlineStr">
        <is>
          <t>frDeptForm</t>
        </is>
      </c>
      <c r="D7" s="21" t="inlineStr">
        <is>
          <t>Description / Activity</t>
        </is>
      </c>
      <c r="E7" s="21" t="inlineStr">
        <is>
          <t>الوصف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Free text 500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description</t>
        </is>
      </c>
      <c r="L7" s="21" t="inlineStr"/>
      <c r="M7" s="22" t="inlineStr"/>
      <c r="N7" s="22" t="inlineStr"/>
    </row>
    <row r="8" ht="15" customHeight="1">
      <c r="A8" s="32" t="inlineStr">
        <is>
          <t>cboStatus</t>
        </is>
      </c>
      <c r="B8" s="7" t="inlineStr">
        <is>
          <t>cbo</t>
        </is>
      </c>
      <c r="C8" s="7" t="inlineStr">
        <is>
          <t>frDeptForm</t>
        </is>
      </c>
      <c r="D8" s="7" t="inlineStr">
        <is>
          <t>Status</t>
        </is>
      </c>
      <c r="E8" s="7" t="inlineStr">
        <is>
          <t>الحالة</t>
        </is>
      </c>
      <c r="F8" s="7" t="inlineStr">
        <is>
          <t>Hardcoded</t>
        </is>
      </c>
      <c r="G8" s="7" t="inlineStr">
        <is>
          <t>—</t>
        </is>
      </c>
      <c r="H8" s="7" t="inlineStr">
        <is>
          <t>Active | Inactive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is_active</t>
        </is>
      </c>
      <c r="L8" s="7" t="inlineStr">
        <is>
          <t>Filter is_active=TRUE in all dropdowns.</t>
        </is>
      </c>
      <c r="M8" s="22" t="inlineStr"/>
      <c r="N8" s="22" t="inlineStr"/>
    </row>
    <row r="9" ht="15" customHeight="1">
      <c r="A9" s="32" t="inlineStr">
        <is>
          <t>cboDeptHead</t>
        </is>
      </c>
      <c r="B9" s="21" t="inlineStr">
        <is>
          <t>cbo</t>
        </is>
      </c>
      <c r="C9" s="21" t="inlineStr">
        <is>
          <t>frDeptForm</t>
        </is>
      </c>
      <c r="D9" s="21" t="inlineStr">
        <is>
          <t>Dept Head</t>
        </is>
      </c>
      <c r="E9" s="21" t="inlineStr">
        <is>
          <t>رئيس القسم</t>
        </is>
      </c>
      <c r="F9" s="21" t="inlineStr">
        <is>
          <t>employees WHERE entity_id=[entity]</t>
        </is>
      </c>
      <c r="G9" s="21" t="inlineStr">
        <is>
          <t>—</t>
        </is>
      </c>
      <c r="H9" s="21" t="inlineStr">
        <is>
          <t>full_name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dept_head_id</t>
        </is>
      </c>
      <c r="L9" s="21" t="inlineStr">
        <is>
          <t>FK → employees.id. Auto-fills cboRequestor Tier 1.</t>
        </is>
      </c>
      <c r="M9" s="22" t="inlineStr"/>
      <c r="N9" s="22" t="inlineStr"/>
    </row>
    <row r="10" ht="15" customHeight="1">
      <c r="A10" s="32" t="inlineStr">
        <is>
          <t>cboPM</t>
        </is>
      </c>
      <c r="B10" s="7" t="inlineStr">
        <is>
          <t>cbo</t>
        </is>
      </c>
      <c r="C10" s="7" t="inlineStr">
        <is>
          <t>frDeptForm</t>
        </is>
      </c>
      <c r="D10" s="7" t="inlineStr">
        <is>
          <t>Primary PM</t>
        </is>
      </c>
      <c r="E10" s="7" t="inlineStr">
        <is>
          <t>مدير المشروع الرئيسي</t>
        </is>
      </c>
      <c r="F10" s="7" t="inlineStr">
        <is>
          <t>employees WHERE entity_id=[entity]</t>
        </is>
      </c>
      <c r="G10" s="7" t="inlineStr">
        <is>
          <t>—</t>
        </is>
      </c>
      <c r="H10" s="7" t="inlineStr">
        <is>
          <t>full_name | UUID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pm_id</t>
        </is>
      </c>
      <c r="L10" s="7" t="inlineStr">
        <is>
          <t>FK → employees.id. Default PM — overridden per project.</t>
        </is>
      </c>
      <c r="M10" s="22" t="inlineStr"/>
      <c r="N10" s="22" t="inlineStr"/>
    </row>
    <row r="11" ht="15" customHeight="1">
      <c r="A11" s="32" t="inlineStr">
        <is>
          <t>cboSupervisor</t>
        </is>
      </c>
      <c r="B11" s="21" t="inlineStr">
        <is>
          <t>cbo</t>
        </is>
      </c>
      <c r="C11" s="21" t="inlineStr">
        <is>
          <t>frDeptForm</t>
        </is>
      </c>
      <c r="D11" s="21" t="inlineStr">
        <is>
          <t>Primary Supervisor</t>
        </is>
      </c>
      <c r="E11" s="21" t="inlineStr">
        <is>
          <t>المشرف الرئيسي</t>
        </is>
      </c>
      <c r="F11" s="21" t="inlineStr">
        <is>
          <t>employees WHERE entity_id=[entity]</t>
        </is>
      </c>
      <c r="G11" s="21" t="inlineStr">
        <is>
          <t>—</t>
        </is>
      </c>
      <c r="H11" s="21" t="inlineStr">
        <is>
          <t>full_name | UUID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supervisor_id</t>
        </is>
      </c>
      <c r="L11" s="21" t="inlineStr">
        <is>
          <t>FK → employees.id.</t>
        </is>
      </c>
      <c r="M11" s="22" t="inlineStr"/>
      <c r="N11" s="22" t="inlineStr"/>
    </row>
    <row r="12" ht="15" customHeight="1">
      <c r="A12" s="32" t="inlineStr">
        <is>
          <t>cmdSave</t>
        </is>
      </c>
      <c r="B12" s="7" t="inlineStr">
        <is>
          <t>cmd</t>
        </is>
      </c>
      <c r="C12" s="7" t="inlineStr">
        <is>
          <t>frDeptForm</t>
        </is>
      </c>
      <c r="D12" s="7" t="inlineStr">
        <is>
          <t>Save Department</t>
        </is>
      </c>
      <c r="E12" s="7" t="inlineStr">
        <is>
          <t>حفظ القسم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Primary button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/>
      <c r="M12" s="22" t="inlineStr"/>
      <c r="N12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frmEmployees  —  Employee Master  |  App → Masters  (most complex master form)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frBasicInfo  —  Basic Information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cboEmpType</t>
        </is>
      </c>
      <c r="B5" s="21" t="inlineStr">
        <is>
          <t>cbo</t>
        </is>
      </c>
      <c r="C5" s="21" t="inlineStr">
        <is>
          <t>frBasicInfo</t>
        </is>
      </c>
      <c r="D5" s="21" t="inlineStr">
        <is>
          <t>Employee Type *</t>
        </is>
      </c>
      <c r="E5" s="21" t="inlineStr">
        <is>
          <t>نوع الموظف</t>
        </is>
      </c>
      <c r="F5" s="21" t="inlineStr">
        <is>
          <t>EMPLOYEE_TYPES per entity</t>
        </is>
      </c>
      <c r="G5" s="21" t="inlineStr">
        <is>
          <t>—</t>
        </is>
      </c>
      <c r="H5" s="21" t="inlineStr">
        <is>
          <t>LOCAL|EXPAT|DRIVER|SUBCON_WORKER|CONTRACTOR_REP|TRAVEL_AGENT|FIELD_STAFF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employee_type</t>
        </is>
      </c>
      <c r="L5" s="21" t="inlineStr">
        <is>
          <t>Types vary by entity.</t>
        </is>
      </c>
      <c r="M5" s="22" t="inlineStr"/>
      <c r="N5" s="22" t="inlineStr"/>
    </row>
    <row r="6" ht="15" customHeight="1">
      <c r="A6" s="32" t="inlineStr">
        <is>
          <t>txtEmpNum</t>
        </is>
      </c>
      <c r="B6" s="7" t="inlineStr">
        <is>
          <t>txt</t>
        </is>
      </c>
      <c r="C6" s="7" t="inlineStr">
        <is>
          <t>frBasicInfo</t>
        </is>
      </c>
      <c r="D6" s="7" t="inlineStr">
        <is>
          <t>Employee # *</t>
        </is>
      </c>
      <c r="E6" s="7" t="inlineStr">
        <is>
          <t>رقم الموظف</t>
        </is>
      </c>
      <c r="F6" s="7" t="inlineStr">
        <is>
          <t>Auto / User</t>
        </is>
      </c>
      <c r="G6" s="7" t="inlineStr">
        <is>
          <t>—</t>
        </is>
      </c>
      <c r="H6" s="7" t="inlineStr">
        <is>
          <t>E-001 format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employee_number</t>
        </is>
      </c>
      <c r="L6" s="7" t="inlineStr"/>
      <c r="M6" s="22" t="inlineStr"/>
      <c r="N6" s="22" t="inlineStr"/>
    </row>
    <row r="7" ht="15" customHeight="1">
      <c r="A7" s="32" t="inlineStr">
        <is>
          <t>txtNameEn</t>
        </is>
      </c>
      <c r="B7" s="21" t="inlineStr">
        <is>
          <t>txt</t>
        </is>
      </c>
      <c r="C7" s="21" t="inlineStr">
        <is>
          <t>frBasicInfo</t>
        </is>
      </c>
      <c r="D7" s="21" t="inlineStr">
        <is>
          <t>Full Name (English) *</t>
        </is>
      </c>
      <c r="E7" s="21" t="inlineStr">
        <is>
          <t>الاسم (إنجليزي)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As on passport or Iqama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full_name</t>
        </is>
      </c>
      <c r="L7" s="21" t="inlineStr"/>
      <c r="M7" s="22" t="inlineStr"/>
      <c r="N7" s="22" t="inlineStr"/>
    </row>
    <row r="8" ht="15" customHeight="1">
      <c r="A8" s="32" t="inlineStr">
        <is>
          <t>txtNameAr</t>
        </is>
      </c>
      <c r="B8" s="7" t="inlineStr">
        <is>
          <t>txt</t>
        </is>
      </c>
      <c r="C8" s="7" t="inlineStr">
        <is>
          <t>frBasicInfo</t>
        </is>
      </c>
      <c r="D8" s="7" t="inlineStr">
        <is>
          <t>Full Name (Arabic)</t>
        </is>
      </c>
      <c r="E8" s="7" t="inlineStr">
        <is>
          <t>الاسم (عربي)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Arabic script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full_name_ar</t>
        </is>
      </c>
      <c r="L8" s="7" t="inlineStr"/>
      <c r="M8" s="22" t="inlineStr"/>
      <c r="N8" s="22" t="inlineStr"/>
    </row>
    <row r="9" ht="15" customHeight="1">
      <c r="A9" s="32" t="inlineStr">
        <is>
          <t>cboNationality</t>
        </is>
      </c>
      <c r="B9" s="21" t="inlineStr">
        <is>
          <t>cbo</t>
        </is>
      </c>
      <c r="C9" s="21" t="inlineStr">
        <is>
          <t>frBasicInfo</t>
        </is>
      </c>
      <c r="D9" s="21" t="inlineStr">
        <is>
          <t>Nationality</t>
        </is>
      </c>
      <c r="E9" s="21" t="inlineStr">
        <is>
          <t>الجنسية</t>
        </is>
      </c>
      <c r="F9" s="21" t="inlineStr">
        <is>
          <t>Country list hardcoded</t>
        </is>
      </c>
      <c r="G9" s="21" t="inlineStr">
        <is>
          <t>—</t>
        </is>
      </c>
      <c r="H9" s="21" t="inlineStr">
        <is>
          <t>Saudi|Pakistani|Indian|Egyptian|Filipino|Bangladeshi|Other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nationality</t>
        </is>
      </c>
      <c r="L9" s="21" t="inlineStr"/>
      <c r="M9" s="22" t="inlineStr"/>
      <c r="N9" s="22" t="inlineStr"/>
    </row>
    <row r="10" ht="15" customHeight="1">
      <c r="A10" s="32" t="inlineStr">
        <is>
          <t>txtDesignation</t>
        </is>
      </c>
      <c r="B10" s="7" t="inlineStr">
        <is>
          <t>txt</t>
        </is>
      </c>
      <c r="C10" s="7" t="inlineStr">
        <is>
          <t>frBasicInfo</t>
        </is>
      </c>
      <c r="D10" s="7" t="inlineStr">
        <is>
          <t>Designation</t>
        </is>
      </c>
      <c r="E10" s="7" t="inlineStr">
        <is>
          <t>المسمى الوظيفي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e.g. Site Supervisor | Project Engineer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designation</t>
        </is>
      </c>
      <c r="L10" s="7" t="inlineStr"/>
      <c r="M10" s="22" t="inlineStr"/>
      <c r="N10" s="22" t="inlineStr"/>
    </row>
    <row r="11" ht="15" customHeight="1">
      <c r="A11" s="32" t="inlineStr">
        <is>
          <t>txtJobTitle</t>
        </is>
      </c>
      <c r="B11" s="21" t="inlineStr">
        <is>
          <t>txt</t>
        </is>
      </c>
      <c r="C11" s="21" t="inlineStr">
        <is>
          <t>frBasicInfo</t>
        </is>
      </c>
      <c r="D11" s="21" t="inlineStr">
        <is>
          <t>Job Title</t>
        </is>
      </c>
      <c r="E11" s="21" t="inlineStr">
        <is>
          <t>الوظيفة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Official title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job_title</t>
        </is>
      </c>
      <c r="L11" s="21" t="inlineStr"/>
      <c r="M11" s="22" t="inlineStr"/>
      <c r="N11" s="22" t="inlineStr"/>
    </row>
    <row r="12" ht="15" customHeight="1">
      <c r="A12" s="32" t="inlineStr">
        <is>
          <t>cboDept</t>
        </is>
      </c>
      <c r="B12" s="7" t="inlineStr">
        <is>
          <t>cbo</t>
        </is>
      </c>
      <c r="C12" s="7" t="inlineStr">
        <is>
          <t>frBasicInfo</t>
        </is>
      </c>
      <c r="D12" s="7" t="inlineStr">
        <is>
          <t>Department *</t>
        </is>
      </c>
      <c r="E12" s="7" t="inlineStr">
        <is>
          <t>القسم</t>
        </is>
      </c>
      <c r="F12" s="7" t="inlineStr">
        <is>
          <t>departments WHERE entity_id=[entity]</t>
        </is>
      </c>
      <c r="G12" s="7" t="inlineStr">
        <is>
          <t>—</t>
        </is>
      </c>
      <c r="H12" s="7" t="inlineStr">
        <is>
          <t>dept_code | UUID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department_id</t>
        </is>
      </c>
      <c r="L12" s="7" t="inlineStr"/>
      <c r="M12" s="22" t="inlineStr"/>
      <c r="N12" s="22" t="inlineStr"/>
    </row>
    <row r="13" ht="15" customHeight="1">
      <c r="A13" s="32" t="inlineStr">
        <is>
          <t>txtHireDate</t>
        </is>
      </c>
      <c r="B13" s="21" t="inlineStr">
        <is>
          <t>txt</t>
        </is>
      </c>
      <c r="C13" s="21" t="inlineStr">
        <is>
          <t>frBasicInfo</t>
        </is>
      </c>
      <c r="D13" s="21" t="inlineStr">
        <is>
          <t>Hire Date *</t>
        </is>
      </c>
      <c r="E13" s="21" t="inlineStr">
        <is>
          <t>تاريخ التعيين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DD/MM/YYYY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hire_date</t>
        </is>
      </c>
      <c r="L13" s="21" t="inlineStr"/>
      <c r="M13" s="22" t="inlineStr"/>
      <c r="N13" s="22" t="inlineStr"/>
    </row>
    <row r="14" ht="15" customHeight="1">
      <c r="A14" s="32" t="inlineStr">
        <is>
          <t>txtContractEnd</t>
        </is>
      </c>
      <c r="B14" s="7" t="inlineStr">
        <is>
          <t>txt</t>
        </is>
      </c>
      <c r="C14" s="7" t="inlineStr">
        <is>
          <t>frBasicInfo</t>
        </is>
      </c>
      <c r="D14" s="7" t="inlineStr">
        <is>
          <t>Contract End Date</t>
        </is>
      </c>
      <c r="E14" s="7" t="inlineStr">
        <is>
          <t>نهاية العقد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DD/MM/YYYY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contract_end_date</t>
        </is>
      </c>
      <c r="L14" s="7" t="inlineStr">
        <is>
          <t>Triggers compliance alert before expiry.</t>
        </is>
      </c>
      <c r="M14" s="22" t="inlineStr"/>
      <c r="N14" s="22" t="inlineStr"/>
    </row>
    <row r="15" ht="15" customHeight="1">
      <c r="A15" s="32" t="inlineStr">
        <is>
          <t>txtDOB</t>
        </is>
      </c>
      <c r="B15" s="21" t="inlineStr">
        <is>
          <t>txt</t>
        </is>
      </c>
      <c r="C15" s="21" t="inlineStr">
        <is>
          <t>frBasicInfo</t>
        </is>
      </c>
      <c r="D15" s="21" t="inlineStr">
        <is>
          <t>Date of Birth</t>
        </is>
      </c>
      <c r="E15" s="21" t="inlineStr">
        <is>
          <t>تاريخ الميلاد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DD/MM/YYYY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date_of_birth</t>
        </is>
      </c>
      <c r="L15" s="21" t="inlineStr"/>
      <c r="M15" s="22" t="inlineStr"/>
      <c r="N15" s="22" t="inlineStr"/>
    </row>
    <row r="16" ht="15" customHeight="1">
      <c r="A16" s="32" t="inlineStr">
        <is>
          <t>txtEmail</t>
        </is>
      </c>
      <c r="B16" s="7" t="inlineStr">
        <is>
          <t>txt</t>
        </is>
      </c>
      <c r="C16" s="7" t="inlineStr">
        <is>
          <t>frBasicInfo</t>
        </is>
      </c>
      <c r="D16" s="7" t="inlineStr">
        <is>
          <t>Email</t>
        </is>
      </c>
      <c r="E16" s="7" t="inlineStr">
        <is>
          <t>البريد</t>
        </is>
      </c>
      <c r="F16" s="7" t="inlineStr">
        <is>
          <t>User</t>
        </is>
      </c>
      <c r="G16" s="7" t="inlineStr">
        <is>
          <t>—</t>
        </is>
      </c>
      <c r="H16" s="7" t="inlineStr">
        <is>
          <t>Valid email format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email</t>
        </is>
      </c>
      <c r="L16" s="7" t="inlineStr"/>
      <c r="M16" s="22" t="inlineStr"/>
      <c r="N16" s="22" t="inlineStr"/>
    </row>
    <row r="17" ht="15" customHeight="1">
      <c r="A17" s="32" t="inlineStr">
        <is>
          <t>txtPhone</t>
        </is>
      </c>
      <c r="B17" s="21" t="inlineStr">
        <is>
          <t>txt</t>
        </is>
      </c>
      <c r="C17" s="21" t="inlineStr">
        <is>
          <t>frBasicInfo</t>
        </is>
      </c>
      <c r="D17" s="21" t="inlineStr">
        <is>
          <t>Phone / Mobile</t>
        </is>
      </c>
      <c r="E17" s="21" t="inlineStr">
        <is>
          <t>الهاتف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+966XXXXXXXXX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phone</t>
        </is>
      </c>
      <c r="L17" s="21" t="inlineStr">
        <is>
          <t>Shown on QR ID card.</t>
        </is>
      </c>
      <c r="M17" s="22" t="inlineStr"/>
      <c r="N17" s="22" t="inlineStr"/>
    </row>
    <row r="18" ht="17" customHeight="1">
      <c r="A18" s="31" t="inlineStr">
        <is>
          <t xml:space="preserve">  ▸  frDocuments  —  Documents &amp; Compliance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 t="n"/>
    </row>
    <row r="19" ht="15" customHeight="1">
      <c r="A19" s="32" t="inlineStr">
        <is>
          <t>txtIqama</t>
        </is>
      </c>
      <c r="B19" s="21" t="inlineStr">
        <is>
          <t>txt</t>
        </is>
      </c>
      <c r="C19" s="21" t="inlineStr">
        <is>
          <t>frDocuments</t>
        </is>
      </c>
      <c r="D19" s="21" t="inlineStr">
        <is>
          <t>Iqama # (Expats)</t>
        </is>
      </c>
      <c r="E19" s="21" t="inlineStr">
        <is>
          <t>رقم الإقامة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10 digits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iqama_number</t>
        </is>
      </c>
      <c r="L19" s="21" t="inlineStr">
        <is>
          <t>Auto-syncs to compliance_docs on save.</t>
        </is>
      </c>
      <c r="M19" s="22" t="inlineStr"/>
      <c r="N19" s="22" t="inlineStr"/>
    </row>
    <row r="20" ht="15" customHeight="1">
      <c r="A20" s="32" t="inlineStr">
        <is>
          <t>txtIqamaExp</t>
        </is>
      </c>
      <c r="B20" s="7" t="inlineStr">
        <is>
          <t>txt</t>
        </is>
      </c>
      <c r="C20" s="7" t="inlineStr">
        <is>
          <t>frDocuments</t>
        </is>
      </c>
      <c r="D20" s="7" t="inlineStr">
        <is>
          <t>Iqama Expiry</t>
        </is>
      </c>
      <c r="E20" s="7" t="inlineStr">
        <is>
          <t>انتهاء الإقامة</t>
        </is>
      </c>
      <c r="F20" s="7" t="inlineStr">
        <is>
          <t>User</t>
        </is>
      </c>
      <c r="G20" s="7" t="inlineStr">
        <is>
          <t>—</t>
        </is>
      </c>
      <c r="H20" s="7" t="inlineStr">
        <is>
          <t>DD/MM/YYYY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iqama_expiry</t>
        </is>
      </c>
      <c r="L20" s="7" t="inlineStr">
        <is>
          <t>Alert triggered 30 days before.</t>
        </is>
      </c>
      <c r="M20" s="22" t="inlineStr"/>
      <c r="N20" s="22" t="inlineStr"/>
    </row>
    <row r="21" ht="15" customHeight="1">
      <c r="A21" s="32" t="inlineStr">
        <is>
          <t>txtPassport</t>
        </is>
      </c>
      <c r="B21" s="21" t="inlineStr">
        <is>
          <t>txt</t>
        </is>
      </c>
      <c r="C21" s="21" t="inlineStr">
        <is>
          <t>frDocuments</t>
        </is>
      </c>
      <c r="D21" s="21" t="inlineStr">
        <is>
          <t>Passport #</t>
        </is>
      </c>
      <c r="E21" s="21" t="inlineStr">
        <is>
          <t>رقم الجواز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Alpha-numeric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passport_number</t>
        </is>
      </c>
      <c r="L21" s="21" t="inlineStr"/>
      <c r="M21" s="22" t="inlineStr"/>
      <c r="N21" s="22" t="inlineStr"/>
    </row>
    <row r="22" ht="15" customHeight="1">
      <c r="A22" s="32" t="inlineStr">
        <is>
          <t>txtPassExp</t>
        </is>
      </c>
      <c r="B22" s="7" t="inlineStr">
        <is>
          <t>txt</t>
        </is>
      </c>
      <c r="C22" s="7" t="inlineStr">
        <is>
          <t>frDocuments</t>
        </is>
      </c>
      <c r="D22" s="7" t="inlineStr">
        <is>
          <t>Passport Expiry</t>
        </is>
      </c>
      <c r="E22" s="7" t="inlineStr">
        <is>
          <t>انتهاء الجواز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DD/MM/YYYY</t>
        </is>
      </c>
      <c r="I22" s="7" t="inlineStr">
        <is>
          <t>N</t>
        </is>
      </c>
      <c r="J22" s="7" t="inlineStr">
        <is>
          <t>N</t>
        </is>
      </c>
      <c r="K22" s="7" t="inlineStr">
        <is>
          <t>passport_expiry</t>
        </is>
      </c>
      <c r="L22" s="7" t="inlineStr"/>
      <c r="M22" s="22" t="inlineStr"/>
      <c r="N22" s="22" t="inlineStr"/>
    </row>
    <row r="23" ht="15" customHeight="1">
      <c r="A23" s="32" t="inlineStr">
        <is>
          <t>chkSCEReg</t>
        </is>
      </c>
      <c r="B23" s="21" t="inlineStr">
        <is>
          <t>chk</t>
        </is>
      </c>
      <c r="C23" s="21" t="inlineStr">
        <is>
          <t>frDocuments</t>
        </is>
      </c>
      <c r="D23" s="21" t="inlineStr">
        <is>
          <t>SCE Registered</t>
        </is>
      </c>
      <c r="E23" s="21" t="inlineStr">
        <is>
          <t>مسجل SCE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Y/N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sce_registered</t>
        </is>
      </c>
      <c r="L23" s="21" t="inlineStr">
        <is>
          <t>Saudi Council of Engineers registration.</t>
        </is>
      </c>
      <c r="M23" s="22" t="inlineStr"/>
      <c r="N23" s="22" t="inlineStr"/>
    </row>
    <row r="24" ht="15" customHeight="1">
      <c r="A24" s="32" t="inlineStr">
        <is>
          <t>txtSCENum</t>
        </is>
      </c>
      <c r="B24" s="7" t="inlineStr">
        <is>
          <t>txt</t>
        </is>
      </c>
      <c r="C24" s="7" t="inlineStr">
        <is>
          <t>frDocuments</t>
        </is>
      </c>
      <c r="D24" s="7" t="inlineStr">
        <is>
          <t>SCE Number</t>
        </is>
      </c>
      <c r="E24" s="7" t="inlineStr">
        <is>
          <t>رقم SCE</t>
        </is>
      </c>
      <c r="F24" s="7" t="inlineStr">
        <is>
          <t>User</t>
        </is>
      </c>
      <c r="G24" s="7" t="inlineStr">
        <is>
          <t>chkSCEReg=Y</t>
        </is>
      </c>
      <c r="H24" s="7" t="inlineStr">
        <is>
          <t>Free text</t>
        </is>
      </c>
      <c r="I24" s="7" t="inlineStr">
        <is>
          <t>N</t>
        </is>
      </c>
      <c r="J24" s="7" t="inlineStr">
        <is>
          <t>N</t>
        </is>
      </c>
      <c r="K24" s="7" t="inlineStr">
        <is>
          <t>sce_number</t>
        </is>
      </c>
      <c r="L24" s="7" t="inlineStr"/>
      <c r="M24" s="22" t="inlineStr"/>
      <c r="N24" s="22" t="inlineStr"/>
    </row>
    <row r="25" ht="15" customHeight="1">
      <c r="A25" s="32" t="inlineStr">
        <is>
          <t>txtSCEExpiry</t>
        </is>
      </c>
      <c r="B25" s="21" t="inlineStr">
        <is>
          <t>txt</t>
        </is>
      </c>
      <c r="C25" s="21" t="inlineStr">
        <is>
          <t>frDocuments</t>
        </is>
      </c>
      <c r="D25" s="21" t="inlineStr">
        <is>
          <t>SCE Expiry</t>
        </is>
      </c>
      <c r="E25" s="21" t="inlineStr">
        <is>
          <t>انتهاء SCE</t>
        </is>
      </c>
      <c r="F25" s="21" t="inlineStr">
        <is>
          <t>User</t>
        </is>
      </c>
      <c r="G25" s="21" t="inlineStr">
        <is>
          <t>chkSCEReg=Y</t>
        </is>
      </c>
      <c r="H25" s="21" t="inlineStr">
        <is>
          <t>DD/MM/YYYY</t>
        </is>
      </c>
      <c r="I25" s="21" t="inlineStr">
        <is>
          <t>N</t>
        </is>
      </c>
      <c r="J25" s="21" t="inlineStr">
        <is>
          <t>N</t>
        </is>
      </c>
      <c r="K25" s="21" t="inlineStr">
        <is>
          <t>sce_expiry</t>
        </is>
      </c>
      <c r="L25" s="21" t="inlineStr"/>
      <c r="M25" s="22" t="inlineStr"/>
      <c r="N25" s="22" t="inlineStr"/>
    </row>
    <row r="26" ht="15" customHeight="1">
      <c r="A26" s="32" t="inlineStr">
        <is>
          <t>chkQiwaReg</t>
        </is>
      </c>
      <c r="B26" s="7" t="inlineStr">
        <is>
          <t>chk</t>
        </is>
      </c>
      <c r="C26" s="7" t="inlineStr">
        <is>
          <t>frDocuments</t>
        </is>
      </c>
      <c r="D26" s="7" t="inlineStr">
        <is>
          <t>Qiwa Contract Registered</t>
        </is>
      </c>
      <c r="E26" s="7" t="inlineStr">
        <is>
          <t>مسجل قوى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Y/N</t>
        </is>
      </c>
      <c r="I26" s="7" t="inlineStr">
        <is>
          <t>N</t>
        </is>
      </c>
      <c r="J26" s="7" t="inlineStr">
        <is>
          <t>N</t>
        </is>
      </c>
      <c r="K26" s="7" t="inlineStr">
        <is>
          <t>qiwa_registered</t>
        </is>
      </c>
      <c r="L26" s="7" t="inlineStr"/>
      <c r="M26" s="22" t="inlineStr"/>
      <c r="N26" s="22" t="inlineStr"/>
    </row>
    <row r="27" ht="15" customHeight="1">
      <c r="A27" s="32" t="inlineStr">
        <is>
          <t>txtQiwaExp</t>
        </is>
      </c>
      <c r="B27" s="21" t="inlineStr">
        <is>
          <t>txt</t>
        </is>
      </c>
      <c r="C27" s="21" t="inlineStr">
        <is>
          <t>frDocuments</t>
        </is>
      </c>
      <c r="D27" s="21" t="inlineStr">
        <is>
          <t>Qiwa Contract Expiry</t>
        </is>
      </c>
      <c r="E27" s="21" t="inlineStr">
        <is>
          <t>انتهاء قوى</t>
        </is>
      </c>
      <c r="F27" s="21" t="inlineStr">
        <is>
          <t>User</t>
        </is>
      </c>
      <c r="G27" s="21" t="inlineStr">
        <is>
          <t>chkQiwaReg=Y</t>
        </is>
      </c>
      <c r="H27" s="21" t="inlineStr">
        <is>
          <t>DD/MM/YYYY</t>
        </is>
      </c>
      <c r="I27" s="21" t="inlineStr">
        <is>
          <t>N</t>
        </is>
      </c>
      <c r="J27" s="21" t="inlineStr">
        <is>
          <t>N</t>
        </is>
      </c>
      <c r="K27" s="21" t="inlineStr">
        <is>
          <t>qiwa_expiry</t>
        </is>
      </c>
      <c r="L27" s="21" t="inlineStr"/>
      <c r="M27" s="22" t="inlineStr"/>
      <c r="N27" s="22" t="inlineStr"/>
    </row>
    <row r="28" ht="17" customHeight="1">
      <c r="A28" s="31" t="inlineStr">
        <is>
          <t xml:space="preserve">  ▸  frSalary  —  Salary &amp; Allowances  (SAR / month)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4" t="n"/>
    </row>
    <row r="29" ht="15" customHeight="1">
      <c r="A29" s="32" t="inlineStr">
        <is>
          <t>txtBasic</t>
        </is>
      </c>
      <c r="B29" s="21" t="inlineStr">
        <is>
          <t>txt</t>
        </is>
      </c>
      <c r="C29" s="21" t="inlineStr">
        <is>
          <t>frSalary</t>
        </is>
      </c>
      <c r="D29" s="21" t="inlineStr">
        <is>
          <t>Basic Salary *</t>
        </is>
      </c>
      <c r="E29" s="21" t="inlineStr">
        <is>
          <t>الراتب الأساسي</t>
        </is>
      </c>
      <c r="F29" s="21" t="inlineStr">
        <is>
          <t>User</t>
        </is>
      </c>
      <c r="G29" s="21" t="inlineStr">
        <is>
          <t>—</t>
        </is>
      </c>
      <c r="H29" s="21" t="inlineStr">
        <is>
          <t>#,##0.00</t>
        </is>
      </c>
      <c r="I29" s="21" t="inlineStr">
        <is>
          <t>Y</t>
        </is>
      </c>
      <c r="J29" s="21" t="inlineStr">
        <is>
          <t>N</t>
        </is>
      </c>
      <c r="K29" s="21" t="inlineStr">
        <is>
          <t>basic_salary</t>
        </is>
      </c>
      <c r="L29" s="21" t="inlineStr"/>
      <c r="M29" s="22" t="inlineStr"/>
      <c r="N29" s="22" t="inlineStr"/>
    </row>
    <row r="30" ht="15" customHeight="1">
      <c r="A30" s="32" t="inlineStr">
        <is>
          <t>txtHousing</t>
        </is>
      </c>
      <c r="B30" s="7" t="inlineStr">
        <is>
          <t>txt</t>
        </is>
      </c>
      <c r="C30" s="7" t="inlineStr">
        <is>
          <t>frSalary</t>
        </is>
      </c>
      <c r="D30" s="7" t="inlineStr">
        <is>
          <t>Housing Allowance</t>
        </is>
      </c>
      <c r="E30" s="7" t="inlineStr">
        <is>
          <t>بدل السكن</t>
        </is>
      </c>
      <c r="F30" s="7" t="inlineStr">
        <is>
          <t>User</t>
        </is>
      </c>
      <c r="G30" s="7" t="inlineStr">
        <is>
          <t>—</t>
        </is>
      </c>
      <c r="H30" s="7" t="inlineStr">
        <is>
          <t>#,##0.00</t>
        </is>
      </c>
      <c r="I30" s="7" t="inlineStr">
        <is>
          <t>N</t>
        </is>
      </c>
      <c r="J30" s="7" t="inlineStr">
        <is>
          <t>N</t>
        </is>
      </c>
      <c r="K30" s="7" t="inlineStr">
        <is>
          <t>housing_allowance</t>
        </is>
      </c>
      <c r="L30" s="7" t="inlineStr"/>
      <c r="M30" s="22" t="inlineStr"/>
      <c r="N30" s="22" t="inlineStr"/>
    </row>
    <row r="31" ht="15" customHeight="1">
      <c r="A31" s="32" t="inlineStr">
        <is>
          <t>txtTransport</t>
        </is>
      </c>
      <c r="B31" s="21" t="inlineStr">
        <is>
          <t>txt</t>
        </is>
      </c>
      <c r="C31" s="21" t="inlineStr">
        <is>
          <t>frSalary</t>
        </is>
      </c>
      <c r="D31" s="21" t="inlineStr">
        <is>
          <t>Transport Allowance</t>
        </is>
      </c>
      <c r="E31" s="21" t="inlineStr">
        <is>
          <t>بدل المواصلات</t>
        </is>
      </c>
      <c r="F31" s="21" t="inlineStr">
        <is>
          <t>User</t>
        </is>
      </c>
      <c r="G31" s="21" t="inlineStr">
        <is>
          <t>—</t>
        </is>
      </c>
      <c r="H31" s="21" t="inlineStr">
        <is>
          <t>#,##0.00</t>
        </is>
      </c>
      <c r="I31" s="21" t="inlineStr">
        <is>
          <t>N</t>
        </is>
      </c>
      <c r="J31" s="21" t="inlineStr">
        <is>
          <t>N</t>
        </is>
      </c>
      <c r="K31" s="21" t="inlineStr">
        <is>
          <t>transport_allowance</t>
        </is>
      </c>
      <c r="L31" s="21" t="inlineStr"/>
      <c r="M31" s="22" t="inlineStr"/>
      <c r="N31" s="22" t="inlineStr"/>
    </row>
    <row r="32" ht="15" customHeight="1">
      <c r="A32" s="32" t="inlineStr">
        <is>
          <t>txtMobileAllow</t>
        </is>
      </c>
      <c r="B32" s="7" t="inlineStr">
        <is>
          <t>txt</t>
        </is>
      </c>
      <c r="C32" s="7" t="inlineStr">
        <is>
          <t>frSalary</t>
        </is>
      </c>
      <c r="D32" s="7" t="inlineStr">
        <is>
          <t>Mobile Allowance</t>
        </is>
      </c>
      <c r="E32" s="7" t="inlineStr">
        <is>
          <t>بدل الجوال</t>
        </is>
      </c>
      <c r="F32" s="7" t="inlineStr">
        <is>
          <t>User</t>
        </is>
      </c>
      <c r="G32" s="7" t="inlineStr">
        <is>
          <t>—</t>
        </is>
      </c>
      <c r="H32" s="7" t="inlineStr">
        <is>
          <t>#,##0.00</t>
        </is>
      </c>
      <c r="I32" s="7" t="inlineStr">
        <is>
          <t>N</t>
        </is>
      </c>
      <c r="J32" s="7" t="inlineStr">
        <is>
          <t>N</t>
        </is>
      </c>
      <c r="K32" s="7" t="inlineStr">
        <is>
          <t>mobile_allowance</t>
        </is>
      </c>
      <c r="L32" s="7" t="inlineStr"/>
      <c r="M32" s="22" t="inlineStr"/>
      <c r="N32" s="22" t="inlineStr"/>
    </row>
    <row r="33" ht="15" customHeight="1">
      <c r="A33" s="32" t="inlineStr">
        <is>
          <t>txtMedAllow</t>
        </is>
      </c>
      <c r="B33" s="21" t="inlineStr">
        <is>
          <t>txt</t>
        </is>
      </c>
      <c r="C33" s="21" t="inlineStr">
        <is>
          <t>frSalary</t>
        </is>
      </c>
      <c r="D33" s="21" t="inlineStr">
        <is>
          <t>Medical Allowance</t>
        </is>
      </c>
      <c r="E33" s="21" t="inlineStr">
        <is>
          <t>بدل طبي</t>
        </is>
      </c>
      <c r="F33" s="21" t="inlineStr">
        <is>
          <t>User</t>
        </is>
      </c>
      <c r="G33" s="21" t="inlineStr">
        <is>
          <t>—</t>
        </is>
      </c>
      <c r="H33" s="21" t="inlineStr">
        <is>
          <t>#,##0.00</t>
        </is>
      </c>
      <c r="I33" s="21" t="inlineStr">
        <is>
          <t>N</t>
        </is>
      </c>
      <c r="J33" s="21" t="inlineStr">
        <is>
          <t>N</t>
        </is>
      </c>
      <c r="K33" s="21" t="inlineStr">
        <is>
          <t>medical_allowance</t>
        </is>
      </c>
      <c r="L33" s="21" t="inlineStr"/>
      <c r="M33" s="22" t="inlineStr"/>
      <c r="N33" s="22" t="inlineStr"/>
    </row>
    <row r="34" ht="15" customHeight="1">
      <c r="A34" s="32" t="inlineStr">
        <is>
          <t>txtTechAllow</t>
        </is>
      </c>
      <c r="B34" s="7" t="inlineStr">
        <is>
          <t>txt</t>
        </is>
      </c>
      <c r="C34" s="7" t="inlineStr">
        <is>
          <t>frSalary</t>
        </is>
      </c>
      <c r="D34" s="7" t="inlineStr">
        <is>
          <t>Tech Allowance</t>
        </is>
      </c>
      <c r="E34" s="7" t="inlineStr">
        <is>
          <t>بدل تقني</t>
        </is>
      </c>
      <c r="F34" s="7" t="inlineStr">
        <is>
          <t>User</t>
        </is>
      </c>
      <c r="G34" s="7" t="inlineStr">
        <is>
          <t>—</t>
        </is>
      </c>
      <c r="H34" s="7" t="inlineStr">
        <is>
          <t>#,##0.00</t>
        </is>
      </c>
      <c r="I34" s="7" t="inlineStr">
        <is>
          <t>N</t>
        </is>
      </c>
      <c r="J34" s="7" t="inlineStr">
        <is>
          <t>N</t>
        </is>
      </c>
      <c r="K34" s="7" t="inlineStr">
        <is>
          <t>tech_allowance</t>
        </is>
      </c>
      <c r="L34" s="7" t="inlineStr"/>
      <c r="M34" s="22" t="inlineStr"/>
      <c r="N34" s="22" t="inlineStr"/>
    </row>
    <row r="35" ht="15" customHeight="1">
      <c r="A35" s="32" t="inlineStr">
        <is>
          <t>txtOtherAllow</t>
        </is>
      </c>
      <c r="B35" s="21" t="inlineStr">
        <is>
          <t>txt</t>
        </is>
      </c>
      <c r="C35" s="21" t="inlineStr">
        <is>
          <t>frSalary</t>
        </is>
      </c>
      <c r="D35" s="21" t="inlineStr">
        <is>
          <t>Other Allowance</t>
        </is>
      </c>
      <c r="E35" s="21" t="inlineStr">
        <is>
          <t>بدل آخر</t>
        </is>
      </c>
      <c r="F35" s="21" t="inlineStr">
        <is>
          <t>User</t>
        </is>
      </c>
      <c r="G35" s="21" t="inlineStr">
        <is>
          <t>—</t>
        </is>
      </c>
      <c r="H35" s="21" t="inlineStr">
        <is>
          <t>#,##0.00</t>
        </is>
      </c>
      <c r="I35" s="21" t="inlineStr">
        <is>
          <t>N</t>
        </is>
      </c>
      <c r="J35" s="21" t="inlineStr">
        <is>
          <t>N</t>
        </is>
      </c>
      <c r="K35" s="21" t="inlineStr">
        <is>
          <t>other_allowance</t>
        </is>
      </c>
      <c r="L35" s="21" t="inlineStr"/>
      <c r="M35" s="22" t="inlineStr"/>
      <c r="N35" s="22" t="inlineStr"/>
    </row>
    <row r="36" ht="17" customHeight="1">
      <c r="A36" s="31" t="inlineStr">
        <is>
          <t xml:space="preserve">  ▸  frBank  —  Bank / WPS Details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4" t="n"/>
    </row>
    <row r="37" ht="15" customHeight="1">
      <c r="A37" s="32" t="inlineStr">
        <is>
          <t>cboBank</t>
        </is>
      </c>
      <c r="B37" s="21" t="inlineStr">
        <is>
          <t>cbo</t>
        </is>
      </c>
      <c r="C37" s="21" t="inlineStr">
        <is>
          <t>frBank</t>
        </is>
      </c>
      <c r="D37" s="21" t="inlineStr">
        <is>
          <t>WPS Bank</t>
        </is>
      </c>
      <c r="E37" s="21" t="inlineStr">
        <is>
          <t>البنك (WPS)</t>
        </is>
      </c>
      <c r="F37" s="21" t="inlineStr">
        <is>
          <t>BANKS list (WPS codes)</t>
        </is>
      </c>
      <c r="G37" s="21" t="inlineStr">
        <is>
          <t>—</t>
        </is>
      </c>
      <c r="H37" s="21" t="inlineStr">
        <is>
          <t>ANB|RJHI|SNB|SAMBA|RIYAD|SABB|NCB</t>
        </is>
      </c>
      <c r="I37" s="21" t="inlineStr">
        <is>
          <t>N</t>
        </is>
      </c>
      <c r="J37" s="21" t="inlineStr">
        <is>
          <t>N</t>
        </is>
      </c>
      <c r="K37" s="21" t="inlineStr">
        <is>
          <t>bank_code</t>
        </is>
      </c>
      <c r="L37" s="21" t="inlineStr">
        <is>
          <t>SAMA WPS bank code for payroll file.</t>
        </is>
      </c>
      <c r="M37" s="22" t="inlineStr"/>
      <c r="N37" s="22" t="inlineStr"/>
    </row>
    <row r="38" ht="15" customHeight="1">
      <c r="A38" s="32" t="inlineStr">
        <is>
          <t>txtBankAcc</t>
        </is>
      </c>
      <c r="B38" s="7" t="inlineStr">
        <is>
          <t>txt</t>
        </is>
      </c>
      <c r="C38" s="7" t="inlineStr">
        <is>
          <t>frBank</t>
        </is>
      </c>
      <c r="D38" s="7" t="inlineStr">
        <is>
          <t>Bank Account / IBAN</t>
        </is>
      </c>
      <c r="E38" s="7" t="inlineStr">
        <is>
          <t>رقم الحساب</t>
        </is>
      </c>
      <c r="F38" s="7" t="inlineStr">
        <is>
          <t>User</t>
        </is>
      </c>
      <c r="G38" s="7" t="inlineStr">
        <is>
          <t>—</t>
        </is>
      </c>
      <c r="H38" s="7" t="inlineStr">
        <is>
          <t>SA+22 digits</t>
        </is>
      </c>
      <c r="I38" s="7" t="inlineStr">
        <is>
          <t>N</t>
        </is>
      </c>
      <c r="J38" s="7" t="inlineStr">
        <is>
          <t>N</t>
        </is>
      </c>
      <c r="K38" s="7" t="inlineStr">
        <is>
          <t>bank_account_number</t>
        </is>
      </c>
      <c r="L38" s="7" t="inlineStr">
        <is>
          <t>WPS payment IBAN.</t>
        </is>
      </c>
      <c r="M38" s="22" t="inlineStr"/>
      <c r="N38" s="22" t="inlineStr"/>
    </row>
    <row r="39" ht="15" customHeight="1">
      <c r="A39" s="32" t="inlineStr">
        <is>
          <t>txtBankPortion</t>
        </is>
      </c>
      <c r="B39" s="21" t="inlineStr">
        <is>
          <t>txt</t>
        </is>
      </c>
      <c r="C39" s="21" t="inlineStr">
        <is>
          <t>frBank</t>
        </is>
      </c>
      <c r="D39" s="21" t="inlineStr">
        <is>
          <t>Bank Salary Portion (%)</t>
        </is>
      </c>
      <c r="E39" s="21" t="inlineStr">
        <is>
          <t>نسبة البنك</t>
        </is>
      </c>
      <c r="F39" s="21" t="inlineStr">
        <is>
          <t>User</t>
        </is>
      </c>
      <c r="G39" s="21" t="inlineStr">
        <is>
          <t>—</t>
        </is>
      </c>
      <c r="H39" s="21" t="inlineStr">
        <is>
          <t>0–100 | Default 100</t>
        </is>
      </c>
      <c r="I39" s="21" t="inlineStr">
        <is>
          <t>N</t>
        </is>
      </c>
      <c r="J39" s="21" t="inlineStr">
        <is>
          <t>N</t>
        </is>
      </c>
      <c r="K39" s="21" t="inlineStr">
        <is>
          <t>bank_salary_portion</t>
        </is>
      </c>
      <c r="L39" s="21" t="inlineStr">
        <is>
          <t>Remainder paid cash.</t>
        </is>
      </c>
      <c r="M39" s="22" t="inlineStr"/>
      <c r="N39" s="22" t="inlineStr"/>
    </row>
    <row r="40" ht="15" customHeight="1">
      <c r="A40" s="32" t="inlineStr">
        <is>
          <t>txtIBAN</t>
        </is>
      </c>
      <c r="B40" s="7" t="inlineStr">
        <is>
          <t>txt</t>
        </is>
      </c>
      <c r="C40" s="7" t="inlineStr">
        <is>
          <t>frBank</t>
        </is>
      </c>
      <c r="D40" s="7" t="inlineStr">
        <is>
          <t>Payment IBAN</t>
        </is>
      </c>
      <c r="E40" s="7" t="inlineStr">
        <is>
          <t>آيبان الدفعات</t>
        </is>
      </c>
      <c r="F40" s="7" t="inlineStr">
        <is>
          <t>User</t>
        </is>
      </c>
      <c r="G40" s="7" t="inlineStr">
        <is>
          <t>—</t>
        </is>
      </c>
      <c r="H40" s="7" t="inlineStr">
        <is>
          <t>SA+22 digits</t>
        </is>
      </c>
      <c r="I40" s="7" t="inlineStr">
        <is>
          <t>N</t>
        </is>
      </c>
      <c r="J40" s="7" t="inlineStr">
        <is>
          <t>N</t>
        </is>
      </c>
      <c r="K40" s="7" t="inlineStr">
        <is>
          <t>iban</t>
        </is>
      </c>
      <c r="L40" s="7" t="inlineStr">
        <is>
          <t>Auto-fills txtIBAN in Money Request party selection.</t>
        </is>
      </c>
      <c r="M40" s="22" t="inlineStr"/>
      <c r="N40" s="22" t="inlineStr"/>
    </row>
    <row r="41" ht="17" customHeight="1">
      <c r="A41" s="31" t="inlineStr">
        <is>
          <t xml:space="preserve">  ▸  frFlags  —  Other Flags</t>
        </is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4" t="n"/>
    </row>
    <row r="42" ht="15" customHeight="1">
      <c r="A42" s="32" t="inlineStr">
        <is>
          <t>chkHasCar</t>
        </is>
      </c>
      <c r="B42" s="7" t="inlineStr">
        <is>
          <t>chk</t>
        </is>
      </c>
      <c r="C42" s="7" t="inlineStr">
        <is>
          <t>frFlags</t>
        </is>
      </c>
      <c r="D42" s="7" t="inlineStr">
        <is>
          <t>Has Company Car</t>
        </is>
      </c>
      <c r="E42" s="7" t="inlineStr">
        <is>
          <t>لديه سيارة شركة</t>
        </is>
      </c>
      <c r="F42" s="7" t="inlineStr">
        <is>
          <t>—</t>
        </is>
      </c>
      <c r="G42" s="7" t="inlineStr">
        <is>
          <t>—</t>
        </is>
      </c>
      <c r="H42" s="7" t="inlineStr">
        <is>
          <t>Y/N</t>
        </is>
      </c>
      <c r="I42" s="7" t="inlineStr">
        <is>
          <t>N</t>
        </is>
      </c>
      <c r="J42" s="7" t="inlineStr">
        <is>
          <t>N</t>
        </is>
      </c>
      <c r="K42" s="7" t="inlineStr">
        <is>
          <t>has_car</t>
        </is>
      </c>
      <c r="L42" s="7" t="inlineStr"/>
      <c r="M42" s="22" t="inlineStr"/>
      <c r="N42" s="22" t="inlineStr"/>
    </row>
    <row r="43" ht="15" customHeight="1">
      <c r="A43" s="32" t="inlineStr">
        <is>
          <t>chkHasDep</t>
        </is>
      </c>
      <c r="B43" s="21" t="inlineStr">
        <is>
          <t>chk</t>
        </is>
      </c>
      <c r="C43" s="21" t="inlineStr">
        <is>
          <t>frFlags</t>
        </is>
      </c>
      <c r="D43" s="21" t="inlineStr">
        <is>
          <t>Has Dependents</t>
        </is>
      </c>
      <c r="E43" s="21" t="inlineStr">
        <is>
          <t>لديه معالون</t>
        </is>
      </c>
      <c r="F43" s="21" t="inlineStr">
        <is>
          <t>—</t>
        </is>
      </c>
      <c r="G43" s="21" t="inlineStr">
        <is>
          <t>—</t>
        </is>
      </c>
      <c r="H43" s="21" t="inlineStr">
        <is>
          <t>Y/N</t>
        </is>
      </c>
      <c r="I43" s="21" t="inlineStr">
        <is>
          <t>N</t>
        </is>
      </c>
      <c r="J43" s="21" t="inlineStr">
        <is>
          <t>N</t>
        </is>
      </c>
      <c r="K43" s="21" t="inlineStr">
        <is>
          <t>has_dependents</t>
        </is>
      </c>
      <c r="L43" s="21" t="inlineStr">
        <is>
          <t>Shows numDep field.</t>
        </is>
      </c>
      <c r="M43" s="22" t="inlineStr"/>
      <c r="N43" s="22" t="inlineStr"/>
    </row>
    <row r="44" ht="15" customHeight="1">
      <c r="A44" s="32" t="inlineStr">
        <is>
          <t>txtNumDep</t>
        </is>
      </c>
      <c r="B44" s="7" t="inlineStr">
        <is>
          <t>txt</t>
        </is>
      </c>
      <c r="C44" s="7" t="inlineStr">
        <is>
          <t>frFlags</t>
        </is>
      </c>
      <c r="D44" s="7" t="inlineStr">
        <is>
          <t>No. of Dependents</t>
        </is>
      </c>
      <c r="E44" s="7" t="inlineStr">
        <is>
          <t>عدد المعالين</t>
        </is>
      </c>
      <c r="F44" s="7" t="inlineStr">
        <is>
          <t>User</t>
        </is>
      </c>
      <c r="G44" s="7" t="inlineStr">
        <is>
          <t>chkHasDep=Y</t>
        </is>
      </c>
      <c r="H44" s="7" t="inlineStr">
        <is>
          <t>Integer ≥ 0</t>
        </is>
      </c>
      <c r="I44" s="7" t="inlineStr">
        <is>
          <t>N</t>
        </is>
      </c>
      <c r="J44" s="7" t="inlineStr">
        <is>
          <t>N</t>
        </is>
      </c>
      <c r="K44" s="7" t="inlineStr">
        <is>
          <t>num_dependents</t>
        </is>
      </c>
      <c r="L44" s="7" t="inlineStr"/>
      <c r="M44" s="22" t="inlineStr"/>
      <c r="N44" s="22" t="inlineStr"/>
    </row>
    <row r="45" ht="15" customHeight="1">
      <c r="A45" s="32" t="inlineStr">
        <is>
          <t>chkLoanElig</t>
        </is>
      </c>
      <c r="B45" s="21" t="inlineStr">
        <is>
          <t>chk</t>
        </is>
      </c>
      <c r="C45" s="21" t="inlineStr">
        <is>
          <t>frFlags</t>
        </is>
      </c>
      <c r="D45" s="21" t="inlineStr">
        <is>
          <t>Loan Eligible</t>
        </is>
      </c>
      <c r="E45" s="21" t="inlineStr">
        <is>
          <t>مؤهل للقرض</t>
        </is>
      </c>
      <c r="F45" s="21" t="inlineStr">
        <is>
          <t>—</t>
        </is>
      </c>
      <c r="G45" s="21" t="inlineStr">
        <is>
          <t>—</t>
        </is>
      </c>
      <c r="H45" s="21" t="inlineStr">
        <is>
          <t>Y/N</t>
        </is>
      </c>
      <c r="I45" s="21" t="inlineStr">
        <is>
          <t>N</t>
        </is>
      </c>
      <c r="J45" s="21" t="inlineStr">
        <is>
          <t>N</t>
        </is>
      </c>
      <c r="K45" s="21" t="inlineStr">
        <is>
          <t>loan_eligible</t>
        </is>
      </c>
      <c r="L45" s="21" t="inlineStr"/>
      <c r="M45" s="22" t="inlineStr"/>
      <c r="N45" s="22" t="inlineStr"/>
    </row>
    <row r="46" ht="17" customHeight="1">
      <c r="A46" s="31" t="inlineStr">
        <is>
          <t xml:space="preserve">  ▸  frDependents  —  Dependents Sub-Table  (modal — repeating rows)</t>
        </is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4" t="n"/>
    </row>
    <row r="47" ht="15" customHeight="1">
      <c r="A47" s="32" t="inlineStr">
        <is>
          <t>txtDepName</t>
        </is>
      </c>
      <c r="B47" s="21" t="inlineStr">
        <is>
          <t>txt</t>
        </is>
      </c>
      <c r="C47" s="21" t="inlineStr">
        <is>
          <t>frDependents</t>
        </is>
      </c>
      <c r="D47" s="21" t="inlineStr">
        <is>
          <t>Full Name</t>
        </is>
      </c>
      <c r="E47" s="21" t="inlineStr">
        <is>
          <t>اسم المعال</t>
        </is>
      </c>
      <c r="F47" s="21" t="inlineStr">
        <is>
          <t>User</t>
        </is>
      </c>
      <c r="G47" s="21" t="inlineStr">
        <is>
          <t>—</t>
        </is>
      </c>
      <c r="H47" s="21" t="inlineStr">
        <is>
          <t>Free text</t>
        </is>
      </c>
      <c r="I47" s="21" t="inlineStr">
        <is>
          <t>Y</t>
        </is>
      </c>
      <c r="J47" s="21" t="inlineStr">
        <is>
          <t>N</t>
        </is>
      </c>
      <c r="K47" s="21" t="inlineStr">
        <is>
          <t>employee_dependents.full_name</t>
        </is>
      </c>
      <c r="L47" s="21" t="inlineStr"/>
      <c r="M47" s="22" t="inlineStr"/>
      <c r="N47" s="22" t="inlineStr"/>
    </row>
    <row r="48" ht="15" customHeight="1">
      <c r="A48" s="32" t="inlineStr">
        <is>
          <t>cboDepGender</t>
        </is>
      </c>
      <c r="B48" s="7" t="inlineStr">
        <is>
          <t>cbo</t>
        </is>
      </c>
      <c r="C48" s="7" t="inlineStr">
        <is>
          <t>frDependents</t>
        </is>
      </c>
      <c r="D48" s="7" t="inlineStr">
        <is>
          <t>Gender</t>
        </is>
      </c>
      <c r="E48" s="7" t="inlineStr">
        <is>
          <t>الجنس</t>
        </is>
      </c>
      <c r="F48" s="7" t="inlineStr">
        <is>
          <t>Hardcoded</t>
        </is>
      </c>
      <c r="G48" s="7" t="inlineStr">
        <is>
          <t>—</t>
        </is>
      </c>
      <c r="H48" s="7" t="inlineStr">
        <is>
          <t>Male|Female</t>
        </is>
      </c>
      <c r="I48" s="7" t="inlineStr">
        <is>
          <t>Y</t>
        </is>
      </c>
      <c r="J48" s="7" t="inlineStr">
        <is>
          <t>N</t>
        </is>
      </c>
      <c r="K48" s="7" t="inlineStr">
        <is>
          <t>employee_dependents.gender</t>
        </is>
      </c>
      <c r="L48" s="7" t="inlineStr"/>
      <c r="M48" s="22" t="inlineStr"/>
      <c r="N48" s="22" t="inlineStr"/>
    </row>
    <row r="49" ht="15" customHeight="1">
      <c r="A49" s="32" t="inlineStr">
        <is>
          <t>cboDepRelation</t>
        </is>
      </c>
      <c r="B49" s="21" t="inlineStr">
        <is>
          <t>cbo</t>
        </is>
      </c>
      <c r="C49" s="21" t="inlineStr">
        <is>
          <t>frDependents</t>
        </is>
      </c>
      <c r="D49" s="21" t="inlineStr">
        <is>
          <t>Relation</t>
        </is>
      </c>
      <c r="E49" s="21" t="inlineStr">
        <is>
          <t>صلة القرابة</t>
        </is>
      </c>
      <c r="F49" s="21" t="inlineStr">
        <is>
          <t>Hardcoded</t>
        </is>
      </c>
      <c r="G49" s="21" t="inlineStr">
        <is>
          <t>—</t>
        </is>
      </c>
      <c r="H49" s="21" t="inlineStr">
        <is>
          <t>Spouse|Son|Daughter|Parent|Sibling</t>
        </is>
      </c>
      <c r="I49" s="21" t="inlineStr">
        <is>
          <t>Y</t>
        </is>
      </c>
      <c r="J49" s="21" t="inlineStr">
        <is>
          <t>N</t>
        </is>
      </c>
      <c r="K49" s="21" t="inlineStr">
        <is>
          <t>employee_dependents.relation</t>
        </is>
      </c>
      <c r="L49" s="21" t="inlineStr"/>
      <c r="M49" s="22" t="inlineStr"/>
      <c r="N49" s="22" t="inlineStr"/>
    </row>
    <row r="50" ht="15" customHeight="1">
      <c r="A50" s="32" t="inlineStr">
        <is>
          <t>txtDepDOB</t>
        </is>
      </c>
      <c r="B50" s="7" t="inlineStr">
        <is>
          <t>txt</t>
        </is>
      </c>
      <c r="C50" s="7" t="inlineStr">
        <is>
          <t>frDependents</t>
        </is>
      </c>
      <c r="D50" s="7" t="inlineStr">
        <is>
          <t>Date of Birth</t>
        </is>
      </c>
      <c r="E50" s="7" t="inlineStr">
        <is>
          <t>تاريخ الميلاد</t>
        </is>
      </c>
      <c r="F50" s="7" t="inlineStr">
        <is>
          <t>User</t>
        </is>
      </c>
      <c r="G50" s="7" t="inlineStr">
        <is>
          <t>—</t>
        </is>
      </c>
      <c r="H50" s="7" t="inlineStr">
        <is>
          <t>DD/MM/YYYY</t>
        </is>
      </c>
      <c r="I50" s="7" t="inlineStr">
        <is>
          <t>N</t>
        </is>
      </c>
      <c r="J50" s="7" t="inlineStr">
        <is>
          <t>N</t>
        </is>
      </c>
      <c r="K50" s="7" t="inlineStr">
        <is>
          <t>employee_dependents.date_of_birth</t>
        </is>
      </c>
      <c r="L50" s="7" t="inlineStr"/>
      <c r="M50" s="22" t="inlineStr"/>
      <c r="N50" s="22" t="inlineStr"/>
    </row>
    <row r="51" ht="15" customHeight="1">
      <c r="A51" s="32" t="inlineStr">
        <is>
          <t>txtDepIqama</t>
        </is>
      </c>
      <c r="B51" s="21" t="inlineStr">
        <is>
          <t>txt</t>
        </is>
      </c>
      <c r="C51" s="21" t="inlineStr">
        <is>
          <t>frDependents</t>
        </is>
      </c>
      <c r="D51" s="21" t="inlineStr">
        <is>
          <t>Iqama #</t>
        </is>
      </c>
      <c r="E51" s="21" t="inlineStr">
        <is>
          <t>رقم الإقامة</t>
        </is>
      </c>
      <c r="F51" s="21" t="inlineStr">
        <is>
          <t>User</t>
        </is>
      </c>
      <c r="G51" s="21" t="inlineStr">
        <is>
          <t>—</t>
        </is>
      </c>
      <c r="H51" s="21" t="inlineStr">
        <is>
          <t>10 digits</t>
        </is>
      </c>
      <c r="I51" s="21" t="inlineStr">
        <is>
          <t>N</t>
        </is>
      </c>
      <c r="J51" s="21" t="inlineStr">
        <is>
          <t>N</t>
        </is>
      </c>
      <c r="K51" s="21" t="inlineStr">
        <is>
          <t>employee_dependents.iqama_number</t>
        </is>
      </c>
      <c r="L51" s="21" t="inlineStr"/>
      <c r="M51" s="22" t="inlineStr"/>
      <c r="N51" s="22" t="inlineStr"/>
    </row>
    <row r="52" ht="15" customHeight="1">
      <c r="A52" s="32" t="inlineStr">
        <is>
          <t>txtDepPassport</t>
        </is>
      </c>
      <c r="B52" s="7" t="inlineStr">
        <is>
          <t>txt</t>
        </is>
      </c>
      <c r="C52" s="7" t="inlineStr">
        <is>
          <t>frDependents</t>
        </is>
      </c>
      <c r="D52" s="7" t="inlineStr">
        <is>
          <t>Passport #</t>
        </is>
      </c>
      <c r="E52" s="7" t="inlineStr">
        <is>
          <t>رقم الجواز</t>
        </is>
      </c>
      <c r="F52" s="7" t="inlineStr">
        <is>
          <t>User</t>
        </is>
      </c>
      <c r="G52" s="7" t="inlineStr">
        <is>
          <t>—</t>
        </is>
      </c>
      <c r="H52" s="7" t="inlineStr">
        <is>
          <t>Free text</t>
        </is>
      </c>
      <c r="I52" s="7" t="inlineStr">
        <is>
          <t>N</t>
        </is>
      </c>
      <c r="J52" s="7" t="inlineStr">
        <is>
          <t>N</t>
        </is>
      </c>
      <c r="K52" s="7" t="inlineStr">
        <is>
          <t>employee_dependents.passport_number</t>
        </is>
      </c>
      <c r="L52" s="7" t="inlineStr"/>
      <c r="M52" s="22" t="inlineStr"/>
      <c r="N52" s="22" t="inlineStr"/>
    </row>
  </sheetData>
  <mergeCells count="8">
    <mergeCell ref="A18:N18"/>
    <mergeCell ref="A4:N4"/>
    <mergeCell ref="A2:N2"/>
    <mergeCell ref="A41:N41"/>
    <mergeCell ref="A28:N28"/>
    <mergeCell ref="A46:N46"/>
    <mergeCell ref="A36:N36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frmContractors  —  Party List (Contractors/Suppliers/Vendors)  |  App → Masters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frPartyForm  —  Add / Edit Party 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cboVendorType</t>
        </is>
      </c>
      <c r="B5" s="21" t="inlineStr">
        <is>
          <t>cbo</t>
        </is>
      </c>
      <c r="C5" s="21" t="inlineStr">
        <is>
          <t>frPartyForm</t>
        </is>
      </c>
      <c r="D5" s="21" t="inlineStr">
        <is>
          <t>Party Type *</t>
        </is>
      </c>
      <c r="E5" s="21" t="inlineStr">
        <is>
          <t>نوع الطرف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CONTRACTOR|VENDOR|SUPPLIER|SUB_CONTRACTOR|LOCAL_SUPPLIER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vendor_type</t>
        </is>
      </c>
      <c r="L5" s="21" t="inlineStr">
        <is>
          <t>Determines which list cboPartyName shows in MR form.</t>
        </is>
      </c>
      <c r="M5" s="22" t="inlineStr"/>
      <c r="N5" s="22" t="inlineStr"/>
    </row>
    <row r="6" ht="15" customHeight="1">
      <c r="A6" s="32" t="inlineStr">
        <is>
          <t>cboStatus</t>
        </is>
      </c>
      <c r="B6" s="7" t="inlineStr">
        <is>
          <t>cbo</t>
        </is>
      </c>
      <c r="C6" s="7" t="inlineStr">
        <is>
          <t>frPartyForm</t>
        </is>
      </c>
      <c r="D6" s="7" t="inlineStr">
        <is>
          <t>Status</t>
        </is>
      </c>
      <c r="E6" s="7" t="inlineStr">
        <is>
          <t>الحالة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ACTIVE|INACTIVE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status</t>
        </is>
      </c>
      <c r="L6" s="7" t="inlineStr"/>
      <c r="M6" s="22" t="inlineStr"/>
      <c r="N6" s="22" t="inlineStr"/>
    </row>
    <row r="7" ht="15" customHeight="1">
      <c r="A7" s="32" t="inlineStr">
        <is>
          <t>txtName</t>
        </is>
      </c>
      <c r="B7" s="21" t="inlineStr">
        <is>
          <t>txt</t>
        </is>
      </c>
      <c r="C7" s="21" t="inlineStr">
        <is>
          <t>frPartyForm</t>
        </is>
      </c>
      <c r="D7" s="21" t="inlineStr">
        <is>
          <t>Party / Company Name *</t>
        </is>
      </c>
      <c r="E7" s="21" t="inlineStr">
        <is>
          <t>اسم الشركة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Full legal name as on CR or contract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contractor_name</t>
        </is>
      </c>
      <c r="L7" s="21" t="inlineStr"/>
      <c r="M7" s="22" t="inlineStr"/>
      <c r="N7" s="22" t="inlineStr"/>
    </row>
    <row r="8" ht="15" customHeight="1">
      <c r="A8" s="32" t="inlineStr">
        <is>
          <t>txtCode</t>
        </is>
      </c>
      <c r="B8" s="7" t="inlineStr">
        <is>
          <t>txt</t>
        </is>
      </c>
      <c r="C8" s="7" t="inlineStr">
        <is>
          <t>frPartyForm</t>
        </is>
      </c>
      <c r="D8" s="7" t="inlineStr">
        <is>
          <t>Party Code</t>
        </is>
      </c>
      <c r="E8" s="7" t="inlineStr">
        <is>
          <t>كود الطرف</t>
        </is>
      </c>
      <c r="F8" s="7" t="inlineStr">
        <is>
          <t>User / Auto</t>
        </is>
      </c>
      <c r="G8" s="7" t="inlineStr">
        <is>
          <t>—</t>
        </is>
      </c>
      <c r="H8" s="7" t="inlineStr">
        <is>
          <t>Auto-generated if empty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contractor_code</t>
        </is>
      </c>
      <c r="L8" s="7" t="inlineStr"/>
      <c r="M8" s="22" t="inlineStr"/>
      <c r="N8" s="22" t="inlineStr"/>
    </row>
    <row r="9" ht="15" customHeight="1">
      <c r="A9" s="32" t="inlineStr">
        <is>
          <t>txtCRNumber</t>
        </is>
      </c>
      <c r="B9" s="21" t="inlineStr">
        <is>
          <t>txt</t>
        </is>
      </c>
      <c r="C9" s="21" t="inlineStr">
        <is>
          <t>frPartyForm</t>
        </is>
      </c>
      <c r="D9" s="21" t="inlineStr">
        <is>
          <t>CR Number</t>
        </is>
      </c>
      <c r="E9" s="21" t="inlineStr">
        <is>
          <t>رقم السجل التجاري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10-digit e.g. 1010XXXXXX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cr_number</t>
        </is>
      </c>
      <c r="L9" s="21" t="inlineStr">
        <is>
          <t>Commercial registration.</t>
        </is>
      </c>
      <c r="M9" s="22" t="inlineStr"/>
      <c r="N9" s="22" t="inlineStr"/>
    </row>
    <row r="10" ht="15" customHeight="1">
      <c r="A10" s="32" t="inlineStr">
        <is>
          <t>txtNationalId</t>
        </is>
      </c>
      <c r="B10" s="7" t="inlineStr">
        <is>
          <t>txt</t>
        </is>
      </c>
      <c r="C10" s="7" t="inlineStr">
        <is>
          <t>frPartyForm</t>
        </is>
      </c>
      <c r="D10" s="7" t="inlineStr">
        <is>
          <t>National ID / Iqama</t>
        </is>
      </c>
      <c r="E10" s="7" t="inlineStr">
        <is>
          <t>الهوية / الإقامة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10 digits (for individuals)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national_id</t>
        </is>
      </c>
      <c r="L10" s="7" t="inlineStr">
        <is>
          <t>For individual contractors.</t>
        </is>
      </c>
      <c r="M10" s="22" t="inlineStr"/>
      <c r="N10" s="22" t="inlineStr"/>
    </row>
    <row r="11" ht="15" customHeight="1">
      <c r="A11" s="32" t="inlineStr">
        <is>
          <t>txtVatNo</t>
        </is>
      </c>
      <c r="B11" s="21" t="inlineStr">
        <is>
          <t>txt</t>
        </is>
      </c>
      <c r="C11" s="21" t="inlineStr">
        <is>
          <t>frPartyForm</t>
        </is>
      </c>
      <c r="D11" s="21" t="inlineStr">
        <is>
          <t>VAT # (15 digits)</t>
        </is>
      </c>
      <c r="E11" s="21" t="inlineStr">
        <is>
          <t>رقم الضريبة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15 digits starting 3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vat_number</t>
        </is>
      </c>
      <c r="L11" s="21" t="inlineStr"/>
      <c r="M11" s="22" t="inlineStr"/>
      <c r="N11" s="22" t="inlineStr"/>
    </row>
    <row r="12" ht="15" customHeight="1">
      <c r="A12" s="32" t="inlineStr">
        <is>
          <t>cboVatRegStatus</t>
        </is>
      </c>
      <c r="B12" s="7" t="inlineStr">
        <is>
          <t>cbo</t>
        </is>
      </c>
      <c r="C12" s="7" t="inlineStr">
        <is>
          <t>frPartyForm</t>
        </is>
      </c>
      <c r="D12" s="7" t="inlineStr">
        <is>
          <t>VAT Registration Status</t>
        </is>
      </c>
      <c r="E12" s="7" t="inlineStr">
        <is>
          <t>حالة التسجيل الضريبي</t>
        </is>
      </c>
      <c r="F12" s="7" t="inlineStr">
        <is>
          <t>Hardcoded</t>
        </is>
      </c>
      <c r="G12" s="7" t="inlineStr">
        <is>
          <t>—</t>
        </is>
      </c>
      <c r="H12" s="7" t="inlineStr">
        <is>
          <t>REGISTERED|UNREGISTERED|UNKNOWN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vat_reg_status</t>
        </is>
      </c>
      <c r="L12" s="7" t="inlineStr"/>
      <c r="M12" s="22" t="inlineStr"/>
      <c r="N12" s="22" t="inlineStr"/>
    </row>
    <row r="13" ht="15" customHeight="1">
      <c r="A13" s="32" t="inlineStr">
        <is>
          <t>txtContact</t>
        </is>
      </c>
      <c r="B13" s="21" t="inlineStr">
        <is>
          <t>txt</t>
        </is>
      </c>
      <c r="C13" s="21" t="inlineStr">
        <is>
          <t>frPartyForm</t>
        </is>
      </c>
      <c r="D13" s="21" t="inlineStr">
        <is>
          <t>Contact Person</t>
        </is>
      </c>
      <c r="E13" s="21" t="inlineStr">
        <is>
          <t>الشخص المسؤول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contact</t>
        </is>
      </c>
      <c r="L13" s="21" t="inlineStr"/>
      <c r="M13" s="22" t="inlineStr"/>
      <c r="N13" s="22" t="inlineStr"/>
    </row>
    <row r="14" ht="15" customHeight="1">
      <c r="A14" s="32" t="inlineStr">
        <is>
          <t>txtPhone</t>
        </is>
      </c>
      <c r="B14" s="7" t="inlineStr">
        <is>
          <t>txt</t>
        </is>
      </c>
      <c r="C14" s="7" t="inlineStr">
        <is>
          <t>frPartyForm</t>
        </is>
      </c>
      <c r="D14" s="7" t="inlineStr">
        <is>
          <t>Phone</t>
        </is>
      </c>
      <c r="E14" s="7" t="inlineStr">
        <is>
          <t>الهاتف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Phone number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phone</t>
        </is>
      </c>
      <c r="L14" s="7" t="inlineStr"/>
      <c r="M14" s="22" t="inlineStr"/>
      <c r="N14" s="22" t="inlineStr"/>
    </row>
    <row r="15" ht="15" customHeight="1">
      <c r="A15" s="32" t="inlineStr">
        <is>
          <t>txtEmail</t>
        </is>
      </c>
      <c r="B15" s="21" t="inlineStr">
        <is>
          <t>txt</t>
        </is>
      </c>
      <c r="C15" s="21" t="inlineStr">
        <is>
          <t>frPartyForm</t>
        </is>
      </c>
      <c r="D15" s="21" t="inlineStr">
        <is>
          <t>Email</t>
        </is>
      </c>
      <c r="E15" s="21" t="inlineStr">
        <is>
          <t>البريد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Valid email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email</t>
        </is>
      </c>
      <c r="L15" s="21" t="inlineStr"/>
      <c r="M15" s="22" t="inlineStr"/>
      <c r="N15" s="22" t="inlineStr"/>
    </row>
    <row r="16" ht="15" customHeight="1">
      <c r="A16" s="32" t="inlineStr">
        <is>
          <t>txtAddress</t>
        </is>
      </c>
      <c r="B16" s="7" t="inlineStr">
        <is>
          <t>txt</t>
        </is>
      </c>
      <c r="C16" s="7" t="inlineStr">
        <is>
          <t>frPartyForm</t>
        </is>
      </c>
      <c r="D16" s="7" t="inlineStr">
        <is>
          <t>Address</t>
        </is>
      </c>
      <c r="E16" s="7" t="inlineStr">
        <is>
          <t>العنوان</t>
        </is>
      </c>
      <c r="F16" s="7" t="inlineStr">
        <is>
          <t>User</t>
        </is>
      </c>
      <c r="G16" s="7" t="inlineStr">
        <is>
          <t>—</t>
        </is>
      </c>
      <c r="H16" s="7" t="inlineStr">
        <is>
          <t>Free text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address</t>
        </is>
      </c>
      <c r="L16" s="7" t="inlineStr"/>
      <c r="M16" s="22" t="inlineStr"/>
      <c r="N16" s="22" t="inlineStr"/>
    </row>
    <row r="17" ht="15" customHeight="1">
      <c r="A17" s="32" t="inlineStr">
        <is>
          <t>txtTerms</t>
        </is>
      </c>
      <c r="B17" s="21" t="inlineStr">
        <is>
          <t>txt</t>
        </is>
      </c>
      <c r="C17" s="21" t="inlineStr">
        <is>
          <t>frPartyForm</t>
        </is>
      </c>
      <c r="D17" s="21" t="inlineStr">
        <is>
          <t>Payment Terms (days)</t>
        </is>
      </c>
      <c r="E17" s="21" t="inlineStr">
        <is>
          <t>مدة الدفع (يوم)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Integer | Default 30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payment_terms</t>
        </is>
      </c>
      <c r="L17" s="21" t="inlineStr"/>
      <c r="M17" s="22" t="inlineStr"/>
      <c r="N17" s="22" t="inlineStr"/>
    </row>
    <row r="18" ht="15" customHeight="1">
      <c r="A18" s="32" t="inlineStr">
        <is>
          <t>lstSpecs</t>
        </is>
      </c>
      <c r="B18" s="7" t="inlineStr">
        <is>
          <t>lst</t>
        </is>
      </c>
      <c r="C18" s="7" t="inlineStr">
        <is>
          <t>frPartyForm</t>
        </is>
      </c>
      <c r="D18" s="7" t="inlineStr">
        <is>
          <t>Specializations / Work Types</t>
        </is>
      </c>
      <c r="E18" s="7" t="inlineStr">
        <is>
          <t>التخصصات</t>
        </is>
      </c>
      <c r="F18" s="7" t="inlineStr">
        <is>
          <t>Hardcoded multi-select</t>
        </is>
      </c>
      <c r="G18" s="7" t="inlineStr">
        <is>
          <t>—</t>
        </is>
      </c>
      <c r="H18" s="7" t="inlineStr">
        <is>
          <t>CIVIL|ELECTRICAL|MECHANICAL|IT|TELECOM|EXCAVATION|SUPPLY_ONLY|OTHER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specializations (JSON array)</t>
        </is>
      </c>
      <c r="L18" s="7" t="inlineStr"/>
      <c r="M18" s="22" t="inlineStr"/>
      <c r="N18" s="22" t="inlineStr"/>
    </row>
    <row r="19" ht="17" customHeight="1">
      <c r="A19" s="31" t="inlineStr">
        <is>
          <t xml:space="preserve">  ▸  frBankAccounts  —  Bank Accounts  (sub-table — repeating)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4" t="n"/>
    </row>
    <row r="20" ht="15" customHeight="1">
      <c r="A20" s="32" t="inlineStr">
        <is>
          <t>txtBankName</t>
        </is>
      </c>
      <c r="B20" s="7" t="inlineStr">
        <is>
          <t>txt</t>
        </is>
      </c>
      <c r="C20" s="7" t="inlineStr">
        <is>
          <t>frBankAccounts</t>
        </is>
      </c>
      <c r="D20" s="7" t="inlineStr">
        <is>
          <t>Bank Name *</t>
        </is>
      </c>
      <c r="E20" s="7" t="inlineStr">
        <is>
          <t>البنك</t>
        </is>
      </c>
      <c r="F20" s="7" t="inlineStr">
        <is>
          <t>User</t>
        </is>
      </c>
      <c r="G20" s="7" t="inlineStr">
        <is>
          <t>—</t>
        </is>
      </c>
      <c r="H20" s="7" t="inlineStr">
        <is>
          <t>Free text e.g. ANB | Al-Rajhi</t>
        </is>
      </c>
      <c r="I20" s="7" t="inlineStr">
        <is>
          <t>Y</t>
        </is>
      </c>
      <c r="J20" s="7" t="inlineStr">
        <is>
          <t>N</t>
        </is>
      </c>
      <c r="K20" s="7" t="inlineStr">
        <is>
          <t>party_bank_accounts.bank_name</t>
        </is>
      </c>
      <c r="L20" s="7" t="inlineStr"/>
      <c r="M20" s="22" t="inlineStr"/>
      <c r="N20" s="22" t="inlineStr"/>
    </row>
    <row r="21" ht="15" customHeight="1">
      <c r="A21" s="32" t="inlineStr">
        <is>
          <t>txtIBAN</t>
        </is>
      </c>
      <c r="B21" s="21" t="inlineStr">
        <is>
          <t>txt</t>
        </is>
      </c>
      <c r="C21" s="21" t="inlineStr">
        <is>
          <t>frBankAccounts</t>
        </is>
      </c>
      <c r="D21" s="21" t="inlineStr">
        <is>
          <t>IBAN *</t>
        </is>
      </c>
      <c r="E21" s="21" t="inlineStr">
        <is>
          <t>الآيبان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SA+22 digits</t>
        </is>
      </c>
      <c r="I21" s="21" t="inlineStr">
        <is>
          <t>Y</t>
        </is>
      </c>
      <c r="J21" s="21" t="inlineStr">
        <is>
          <t>N</t>
        </is>
      </c>
      <c r="K21" s="21" t="inlineStr">
        <is>
          <t>party_bank_accounts.iban</t>
        </is>
      </c>
      <c r="L21" s="21" t="inlineStr">
        <is>
          <t>Auto-fills txtIBAN in Money Request when this party is selected.</t>
        </is>
      </c>
      <c r="M21" s="22" t="inlineStr"/>
      <c r="N21" s="22" t="inlineStr"/>
    </row>
    <row r="22" ht="15" customHeight="1">
      <c r="A22" s="32" t="inlineStr">
        <is>
          <t>txtAcctName</t>
        </is>
      </c>
      <c r="B22" s="7" t="inlineStr">
        <is>
          <t>txt</t>
        </is>
      </c>
      <c r="C22" s="7" t="inlineStr">
        <is>
          <t>frBankAccounts</t>
        </is>
      </c>
      <c r="D22" s="7" t="inlineStr">
        <is>
          <t>Account Name</t>
        </is>
      </c>
      <c r="E22" s="7" t="inlineStr">
        <is>
          <t>اسم الحساب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Free text</t>
        </is>
      </c>
      <c r="I22" s="7" t="inlineStr">
        <is>
          <t>N</t>
        </is>
      </c>
      <c r="J22" s="7" t="inlineStr">
        <is>
          <t>N</t>
        </is>
      </c>
      <c r="K22" s="7" t="inlineStr">
        <is>
          <t>party_bank_accounts.account_name</t>
        </is>
      </c>
      <c r="L22" s="7" t="inlineStr"/>
      <c r="M22" s="22" t="inlineStr"/>
      <c r="N22" s="22" t="inlineStr"/>
    </row>
    <row r="23" ht="15" customHeight="1">
      <c r="A23" s="32" t="inlineStr">
        <is>
          <t>chkPrimary</t>
        </is>
      </c>
      <c r="B23" s="21" t="inlineStr">
        <is>
          <t>chk</t>
        </is>
      </c>
      <c r="C23" s="21" t="inlineStr">
        <is>
          <t>frBankAccounts</t>
        </is>
      </c>
      <c r="D23" s="21" t="inlineStr">
        <is>
          <t>Primary Account</t>
        </is>
      </c>
      <c r="E23" s="21" t="inlineStr">
        <is>
          <t>الحساب الرئيسي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Y/N | Only one primary per party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party_bank_accounts.is_primary</t>
        </is>
      </c>
      <c r="L23" s="21" t="inlineStr"/>
      <c r="M23" s="22" t="inlineStr"/>
      <c r="N23" s="22" t="inlineStr"/>
    </row>
    <row r="24" ht="15" customHeight="1">
      <c r="A24" s="32" t="inlineStr">
        <is>
          <t>cmdSaveBank</t>
        </is>
      </c>
      <c r="B24" s="7" t="inlineStr">
        <is>
          <t>cmd</t>
        </is>
      </c>
      <c r="C24" s="7" t="inlineStr">
        <is>
          <t>frBankAccounts</t>
        </is>
      </c>
      <c r="D24" s="7" t="inlineStr">
        <is>
          <t>Save Bank Account</t>
        </is>
      </c>
      <c r="E24" s="7" t="inlineStr">
        <is>
          <t>حفظ الحساب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Button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/>
      <c r="M24" s="22" t="inlineStr"/>
      <c r="N24" s="22" t="inlineStr"/>
    </row>
  </sheetData>
  <mergeCells count="4">
    <mergeCell ref="A4:N4"/>
    <mergeCell ref="A19:N19"/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frmProjects  —  Project Master  |  App → Masters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frProjectForm  —  Add / Edit Project 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txtProjNum</t>
        </is>
      </c>
      <c r="B5" s="21" t="inlineStr">
        <is>
          <t>txt</t>
        </is>
      </c>
      <c r="C5" s="21" t="inlineStr">
        <is>
          <t>frProjectForm</t>
        </is>
      </c>
      <c r="D5" s="21" t="inlineStr">
        <is>
          <t>Project # *</t>
        </is>
      </c>
      <c r="E5" s="21" t="inlineStr">
        <is>
          <t>رقم المشروع</t>
        </is>
      </c>
      <c r="F5" s="21" t="inlineStr">
        <is>
          <t>Auto or user</t>
        </is>
      </c>
      <c r="G5" s="21" t="inlineStr">
        <is>
          <t>—</t>
        </is>
      </c>
      <c r="H5" s="21" t="inlineStr">
        <is>
          <t>P-YYYY-NN format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project_number</t>
        </is>
      </c>
      <c r="L5" s="21" t="inlineStr"/>
      <c r="M5" s="22" t="inlineStr"/>
      <c r="N5" s="22" t="inlineStr"/>
    </row>
    <row r="6" ht="15" customHeight="1">
      <c r="A6" s="32" t="inlineStr">
        <is>
          <t>cboStatus</t>
        </is>
      </c>
      <c r="B6" s="7" t="inlineStr">
        <is>
          <t>cbo</t>
        </is>
      </c>
      <c r="C6" s="7" t="inlineStr">
        <is>
          <t>frProjectForm</t>
        </is>
      </c>
      <c r="D6" s="7" t="inlineStr">
        <is>
          <t>Status</t>
        </is>
      </c>
      <c r="E6" s="7" t="inlineStr">
        <is>
          <t>الحالة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OPEN|ACTIVE|ON_HOLD|COMPLETED|CANCELLED|ROLLOVER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status</t>
        </is>
      </c>
      <c r="L6" s="7" t="inlineStr"/>
      <c r="M6" s="22" t="inlineStr"/>
      <c r="N6" s="22" t="inlineStr"/>
    </row>
    <row r="7" ht="15" customHeight="1">
      <c r="A7" s="32" t="inlineStr">
        <is>
          <t>txtProjName</t>
        </is>
      </c>
      <c r="B7" s="21" t="inlineStr">
        <is>
          <t>txt</t>
        </is>
      </c>
      <c r="C7" s="21" t="inlineStr">
        <is>
          <t>frProjectForm</t>
        </is>
      </c>
      <c r="D7" s="21" t="inlineStr">
        <is>
          <t>Project Name *</t>
        </is>
      </c>
      <c r="E7" s="21" t="inlineStr">
        <is>
          <t>اسم المشروع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e.g. STC Network Expansion – Riyadh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project_name</t>
        </is>
      </c>
      <c r="L7" s="21" t="inlineStr"/>
      <c r="M7" s="22" t="inlineStr"/>
      <c r="N7" s="22" t="inlineStr"/>
    </row>
    <row r="8" ht="15" customHeight="1">
      <c r="A8" s="32" t="inlineStr">
        <is>
          <t>cboProjType</t>
        </is>
      </c>
      <c r="B8" s="7" t="inlineStr">
        <is>
          <t>cbo</t>
        </is>
      </c>
      <c r="C8" s="7" t="inlineStr">
        <is>
          <t>frProjectForm</t>
        </is>
      </c>
      <c r="D8" s="7" t="inlineStr">
        <is>
          <t>Project Type</t>
        </is>
      </c>
      <c r="E8" s="7" t="inlineStr">
        <is>
          <t>نوع المشروع</t>
        </is>
      </c>
      <c r="F8" s="7" t="inlineStr">
        <is>
          <t>PROJECT_TYPES hardcoded</t>
        </is>
      </c>
      <c r="G8" s="7" t="inlineStr">
        <is>
          <t>—</t>
        </is>
      </c>
      <c r="H8" s="7" t="inlineStr">
        <is>
          <t>TELECOM|CIVIL|ELECTRICAL|MECHANICAL|IT_INFRA|SUPPLY|CONSULTANCY|OTHER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project_type</t>
        </is>
      </c>
      <c r="L8" s="7" t="inlineStr"/>
      <c r="M8" s="22" t="inlineStr"/>
      <c r="N8" s="22" t="inlineStr"/>
    </row>
    <row r="9" ht="15" customHeight="1">
      <c r="A9" s="32" t="inlineStr">
        <is>
          <t>cboDept</t>
        </is>
      </c>
      <c r="B9" s="21" t="inlineStr">
        <is>
          <t>cbo</t>
        </is>
      </c>
      <c r="C9" s="21" t="inlineStr">
        <is>
          <t>frProjectForm</t>
        </is>
      </c>
      <c r="D9" s="21" t="inlineStr">
        <is>
          <t>Department</t>
        </is>
      </c>
      <c r="E9" s="21" t="inlineStr">
        <is>
          <t>القسم</t>
        </is>
      </c>
      <c r="F9" s="21" t="inlineStr">
        <is>
          <t>departments WHERE entity_id=[entity]</t>
        </is>
      </c>
      <c r="G9" s="21" t="inlineStr">
        <is>
          <t>—</t>
        </is>
      </c>
      <c r="H9" s="21" t="inlineStr">
        <is>
          <t>dept_code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department_id</t>
        </is>
      </c>
      <c r="L9" s="21" t="inlineStr">
        <is>
          <t>Filters projects in dropdowns by dept.</t>
        </is>
      </c>
      <c r="M9" s="22" t="inlineStr"/>
      <c r="N9" s="22" t="inlineStr"/>
    </row>
    <row r="10" ht="15" customHeight="1">
      <c r="A10" s="32" t="inlineStr">
        <is>
          <t>txtStartDate</t>
        </is>
      </c>
      <c r="B10" s="7" t="inlineStr">
        <is>
          <t>txt</t>
        </is>
      </c>
      <c r="C10" s="7" t="inlineStr">
        <is>
          <t>frProjectForm</t>
        </is>
      </c>
      <c r="D10" s="7" t="inlineStr">
        <is>
          <t>Start Date</t>
        </is>
      </c>
      <c r="E10" s="7" t="inlineStr">
        <is>
          <t>تاريخ البداية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DD/MM/YYYY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start_date</t>
        </is>
      </c>
      <c r="L10" s="7" t="inlineStr"/>
      <c r="M10" s="22" t="inlineStr"/>
      <c r="N10" s="22" t="inlineStr"/>
    </row>
    <row r="11" ht="15" customHeight="1">
      <c r="A11" s="32" t="inlineStr">
        <is>
          <t>txtEndDate</t>
        </is>
      </c>
      <c r="B11" s="21" t="inlineStr">
        <is>
          <t>txt</t>
        </is>
      </c>
      <c r="C11" s="21" t="inlineStr">
        <is>
          <t>frProjectForm</t>
        </is>
      </c>
      <c r="D11" s="21" t="inlineStr">
        <is>
          <t>End Date</t>
        </is>
      </c>
      <c r="E11" s="21" t="inlineStr">
        <is>
          <t>تاريخ الانتهاء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DD/MM/YYYY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end_date</t>
        </is>
      </c>
      <c r="L11" s="21" t="inlineStr"/>
      <c r="M11" s="22" t="inlineStr"/>
      <c r="N11" s="22" t="inlineStr"/>
    </row>
    <row r="12" ht="15" customHeight="1">
      <c r="A12" s="32" t="inlineStr">
        <is>
          <t>txtContractValue</t>
        </is>
      </c>
      <c r="B12" s="7" t="inlineStr">
        <is>
          <t>txt</t>
        </is>
      </c>
      <c r="C12" s="7" t="inlineStr">
        <is>
          <t>frProjectForm</t>
        </is>
      </c>
      <c r="D12" s="7" t="inlineStr">
        <is>
          <t>Contract Value (SAR)</t>
        </is>
      </c>
      <c r="E12" s="7" t="inlineStr">
        <is>
          <t>قيمة العقد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#,##0.00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contract_value</t>
        </is>
      </c>
      <c r="L12" s="7" t="inlineStr"/>
      <c r="M12" s="22" t="inlineStr"/>
      <c r="N12" s="22" t="inlineStr"/>
    </row>
    <row r="13" ht="15" customHeight="1">
      <c r="A13" s="32" t="inlineStr">
        <is>
          <t>cboContractor</t>
        </is>
      </c>
      <c r="B13" s="21" t="inlineStr">
        <is>
          <t>cbo</t>
        </is>
      </c>
      <c r="C13" s="21" t="inlineStr">
        <is>
          <t>frProjectForm</t>
        </is>
      </c>
      <c r="D13" s="21" t="inlineStr">
        <is>
          <t>Main Contractor</t>
        </is>
      </c>
      <c r="E13" s="21" t="inlineStr">
        <is>
          <t>المقاول الرئيسي</t>
        </is>
      </c>
      <c r="F13" s="21" t="inlineStr">
        <is>
          <t>contractors WHERE entity_id</t>
        </is>
      </c>
      <c r="G13" s="21" t="inlineStr">
        <is>
          <t>—</t>
        </is>
      </c>
      <c r="H13" s="21" t="inlineStr">
        <is>
          <t>contractor_name | UUID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contractor_id</t>
        </is>
      </c>
      <c r="L13" s="21" t="inlineStr"/>
      <c r="M13" s="22" t="inlineStr"/>
      <c r="N13" s="22" t="inlineStr"/>
    </row>
    <row r="14" ht="15" customHeight="1">
      <c r="A14" s="32" t="inlineStr">
        <is>
          <t>cboPM</t>
        </is>
      </c>
      <c r="B14" s="7" t="inlineStr">
        <is>
          <t>cbo</t>
        </is>
      </c>
      <c r="C14" s="7" t="inlineStr">
        <is>
          <t>frProjectForm</t>
        </is>
      </c>
      <c r="D14" s="7" t="inlineStr">
        <is>
          <t>Project Manager</t>
        </is>
      </c>
      <c r="E14" s="7" t="inlineStr">
        <is>
          <t>مدير المشروع</t>
        </is>
      </c>
      <c r="F14" s="7" t="inlineStr">
        <is>
          <t>employees WHERE entity_id</t>
        </is>
      </c>
      <c r="G14" s="7" t="inlineStr">
        <is>
          <t>—</t>
        </is>
      </c>
      <c r="H14" s="7" t="inlineStr">
        <is>
          <t>full_name | UUID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pm_id</t>
        </is>
      </c>
      <c r="L14" s="7" t="inlineStr">
        <is>
          <t>Overrides dept default PM.</t>
        </is>
      </c>
      <c r="M14" s="22" t="inlineStr"/>
      <c r="N14" s="22" t="inlineStr"/>
    </row>
    <row r="15" ht="15" customHeight="1">
      <c r="A15" s="32" t="inlineStr">
        <is>
          <t>txtPMEmail</t>
        </is>
      </c>
      <c r="B15" s="21" t="inlineStr">
        <is>
          <t>txt</t>
        </is>
      </c>
      <c r="C15" s="21" t="inlineStr">
        <is>
          <t>frProjectForm</t>
        </is>
      </c>
      <c r="D15" s="21" t="inlineStr">
        <is>
          <t>PM Email</t>
        </is>
      </c>
      <c r="E15" s="21" t="inlineStr">
        <is>
          <t>بريد المدير</t>
        </is>
      </c>
      <c r="F15" s="21" t="inlineStr">
        <is>
          <t>Auto from cboPM</t>
        </is>
      </c>
      <c r="G15" s="21" t="inlineStr">
        <is>
          <t>cboPM</t>
        </is>
      </c>
      <c r="H15" s="21" t="inlineStr">
        <is>
          <t>Read-only</t>
        </is>
      </c>
      <c r="I15" s="21" t="inlineStr">
        <is>
          <t>N</t>
        </is>
      </c>
      <c r="J15" s="21" t="inlineStr">
        <is>
          <t>Y</t>
        </is>
      </c>
      <c r="K15" s="21" t="inlineStr">
        <is>
          <t>pm_email</t>
        </is>
      </c>
      <c r="L15" s="21" t="inlineStr"/>
      <c r="M15" s="22" t="inlineStr"/>
      <c r="N15" s="22" t="inlineStr"/>
    </row>
    <row r="16" ht="15" customHeight="1">
      <c r="A16" s="32" t="inlineStr">
        <is>
          <t>txtPMPhone</t>
        </is>
      </c>
      <c r="B16" s="7" t="inlineStr">
        <is>
          <t>txt</t>
        </is>
      </c>
      <c r="C16" s="7" t="inlineStr">
        <is>
          <t>frProjectForm</t>
        </is>
      </c>
      <c r="D16" s="7" t="inlineStr">
        <is>
          <t>PM Phone</t>
        </is>
      </c>
      <c r="E16" s="7" t="inlineStr">
        <is>
          <t>هاتف المدير</t>
        </is>
      </c>
      <c r="F16" s="7" t="inlineStr">
        <is>
          <t>Auto from cboPM</t>
        </is>
      </c>
      <c r="G16" s="7" t="inlineStr">
        <is>
          <t>cboPM</t>
        </is>
      </c>
      <c r="H16" s="7" t="inlineStr">
        <is>
          <t>Read-only</t>
        </is>
      </c>
      <c r="I16" s="7" t="inlineStr">
        <is>
          <t>N</t>
        </is>
      </c>
      <c r="J16" s="7" t="inlineStr">
        <is>
          <t>Y</t>
        </is>
      </c>
      <c r="K16" s="7" t="inlineStr">
        <is>
          <t>pm_phone</t>
        </is>
      </c>
      <c r="L16" s="7" t="inlineStr"/>
      <c r="M16" s="22" t="inlineStr"/>
      <c r="N16" s="22" t="inlineStr"/>
    </row>
    <row r="17" ht="15" customHeight="1">
      <c r="A17" s="32" t="inlineStr">
        <is>
          <t>cboSupervisor</t>
        </is>
      </c>
      <c r="B17" s="21" t="inlineStr">
        <is>
          <t>cbo</t>
        </is>
      </c>
      <c r="C17" s="21" t="inlineStr">
        <is>
          <t>frProjectForm</t>
        </is>
      </c>
      <c r="D17" s="21" t="inlineStr">
        <is>
          <t>Supervisor</t>
        </is>
      </c>
      <c r="E17" s="21" t="inlineStr">
        <is>
          <t>المشرف</t>
        </is>
      </c>
      <c r="F17" s="21" t="inlineStr">
        <is>
          <t>employees WHERE entity_id</t>
        </is>
      </c>
      <c r="G17" s="21" t="inlineStr">
        <is>
          <t>—</t>
        </is>
      </c>
      <c r="H17" s="21" t="inlineStr">
        <is>
          <t>full_name | UUID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supervisor_id</t>
        </is>
      </c>
      <c r="L17" s="21" t="inlineStr"/>
      <c r="M17" s="22" t="inlineStr"/>
      <c r="N17" s="22" t="inlineStr"/>
    </row>
    <row r="18" ht="15" customHeight="1">
      <c r="A18" s="32" t="inlineStr">
        <is>
          <t>txtContPMName</t>
        </is>
      </c>
      <c r="B18" s="7" t="inlineStr">
        <is>
          <t>txt</t>
        </is>
      </c>
      <c r="C18" s="7" t="inlineStr">
        <is>
          <t>frProjectForm</t>
        </is>
      </c>
      <c r="D18" s="7" t="inlineStr">
        <is>
          <t>Contractor PM Name</t>
        </is>
      </c>
      <c r="E18" s="7" t="inlineStr">
        <is>
          <t>مدير مشروع المقاول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Free text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contractor_pm_name</t>
        </is>
      </c>
      <c r="L18" s="7" t="inlineStr"/>
      <c r="M18" s="22" t="inlineStr"/>
      <c r="N18" s="22" t="inlineStr"/>
    </row>
    <row r="19" ht="15" customHeight="1">
      <c r="A19" s="32" t="inlineStr">
        <is>
          <t>txtContPMPhone</t>
        </is>
      </c>
      <c r="B19" s="21" t="inlineStr">
        <is>
          <t>txt</t>
        </is>
      </c>
      <c r="C19" s="21" t="inlineStr">
        <is>
          <t>frProjectForm</t>
        </is>
      </c>
      <c r="D19" s="21" t="inlineStr">
        <is>
          <t>Contractor PM Phone</t>
        </is>
      </c>
      <c r="E19" s="21" t="inlineStr">
        <is>
          <t>هاتف مدير المقاول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Phone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contractor_pm_phone</t>
        </is>
      </c>
      <c r="L19" s="21" t="inlineStr"/>
      <c r="M19" s="22" t="inlineStr"/>
      <c r="N19" s="22" t="inlineStr"/>
    </row>
    <row r="20" ht="15" customHeight="1">
      <c r="A20" s="32" t="inlineStr">
        <is>
          <t>txtDesc</t>
        </is>
      </c>
      <c r="B20" s="7" t="inlineStr">
        <is>
          <t>txt</t>
        </is>
      </c>
      <c r="C20" s="7" t="inlineStr">
        <is>
          <t>frProjectForm</t>
        </is>
      </c>
      <c r="D20" s="7" t="inlineStr">
        <is>
          <t>Description / Scope</t>
        </is>
      </c>
      <c r="E20" s="7" t="inlineStr">
        <is>
          <t>الوصف</t>
        </is>
      </c>
      <c r="F20" s="7" t="inlineStr">
        <is>
          <t>User</t>
        </is>
      </c>
      <c r="G20" s="7" t="inlineStr">
        <is>
          <t>—</t>
        </is>
      </c>
      <c r="H20" s="7" t="inlineStr">
        <is>
          <t>Free text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description</t>
        </is>
      </c>
      <c r="L20" s="7" t="inlineStr"/>
      <c r="M20" s="22" t="inlineStr"/>
      <c r="N20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frmSiteMaster  —  Site Master  |  App → Masters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frSiteForm  —  Add / Edit Site Master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cboServiceUnit</t>
        </is>
      </c>
      <c r="B5" s="21" t="inlineStr">
        <is>
          <t>cbo</t>
        </is>
      </c>
      <c r="C5" s="21" t="inlineStr">
        <is>
          <t>frSiteForm</t>
        </is>
      </c>
      <c r="D5" s="21" t="inlineStr">
        <is>
          <t>Service Unit *</t>
        </is>
      </c>
      <c r="E5" s="21" t="inlineStr">
        <is>
          <t>وحدة الخدمة</t>
        </is>
      </c>
      <c r="F5" s="21" t="inlineStr">
        <is>
          <t>UNITS hardcoded</t>
        </is>
      </c>
      <c r="G5" s="21" t="inlineStr">
        <is>
          <t>—</t>
        </is>
      </c>
      <c r="H5" s="21" t="inlineStr">
        <is>
          <t>NISU|TISU|CISU|ITSU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service_unit</t>
        </is>
      </c>
      <c r="L5" s="21" t="inlineStr">
        <is>
          <t>Determines which dept/team manages this site.</t>
        </is>
      </c>
      <c r="M5" s="22" t="inlineStr"/>
      <c r="N5" s="22" t="inlineStr"/>
    </row>
    <row r="6" ht="15" customHeight="1">
      <c r="A6" s="32" t="inlineStr">
        <is>
          <t>cboWorkType</t>
        </is>
      </c>
      <c r="B6" s="7" t="inlineStr">
        <is>
          <t>cbo</t>
        </is>
      </c>
      <c r="C6" s="7" t="inlineStr">
        <is>
          <t>frSiteForm</t>
        </is>
      </c>
      <c r="D6" s="7" t="inlineStr">
        <is>
          <t>Work Type</t>
        </is>
      </c>
      <c r="E6" s="7" t="inlineStr">
        <is>
          <t>نوع العمل</t>
        </is>
      </c>
      <c r="F6" s="7" t="inlineStr">
        <is>
          <t>CISU_TYPES hardcoded (per unit)</t>
        </is>
      </c>
      <c r="G6" s="7" t="inlineStr">
        <is>
          <t>cboServiceUnit</t>
        </is>
      </c>
      <c r="H6" s="7" t="inlineStr">
        <is>
          <t>Varies by unit: e.g. CCTV|ACCESS CTRL|NETWORK|CABLING</t>
        </is>
      </c>
      <c r="I6" s="7" t="inlineStr">
        <is>
          <t>N</t>
        </is>
      </c>
      <c r="J6" s="7" t="inlineStr">
        <is>
          <t>N</t>
        </is>
      </c>
      <c r="K6" s="7" t="inlineStr">
        <is>
          <t>work_type</t>
        </is>
      </c>
      <c r="L6" s="7" t="inlineStr"/>
      <c r="M6" s="22" t="inlineStr"/>
      <c r="N6" s="22" t="inlineStr"/>
    </row>
    <row r="7" ht="15" customHeight="1">
      <c r="A7" s="32" t="inlineStr">
        <is>
          <t>cboStatus</t>
        </is>
      </c>
      <c r="B7" s="21" t="inlineStr">
        <is>
          <t>cbo</t>
        </is>
      </c>
      <c r="C7" s="21" t="inlineStr">
        <is>
          <t>frSiteForm</t>
        </is>
      </c>
      <c r="D7" s="21" t="inlineStr">
        <is>
          <t>Status</t>
        </is>
      </c>
      <c r="E7" s="21" t="inlineStr">
        <is>
          <t>الحالة</t>
        </is>
      </c>
      <c r="F7" s="21" t="inlineStr">
        <is>
          <t>STATUSES hardcoded</t>
        </is>
      </c>
      <c r="G7" s="21" t="inlineStr">
        <is>
          <t>—</t>
        </is>
      </c>
      <c r="H7" s="21" t="inlineStr">
        <is>
          <t>ACTIVE|IN_PROGRESS|COMPLETED|ON_HOLD|CANCELLED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status</t>
        </is>
      </c>
      <c r="L7" s="21" t="inlineStr"/>
      <c r="M7" s="22" t="inlineStr"/>
      <c r="N7" s="22" t="inlineStr"/>
    </row>
    <row r="8" ht="15" customHeight="1">
      <c r="A8" s="32" t="inlineStr">
        <is>
          <t>cboProject</t>
        </is>
      </c>
      <c r="B8" s="7" t="inlineStr">
        <is>
          <t>cbo</t>
        </is>
      </c>
      <c r="C8" s="7" t="inlineStr">
        <is>
          <t>frSiteForm</t>
        </is>
      </c>
      <c r="D8" s="7" t="inlineStr">
        <is>
          <t>Project *</t>
        </is>
      </c>
      <c r="E8" s="7" t="inlineStr">
        <is>
          <t>المشروع</t>
        </is>
      </c>
      <c r="F8" s="7" t="inlineStr">
        <is>
          <t>projects WHERE ACTIVE AND entity_id</t>
        </is>
      </c>
      <c r="G8" s="7" t="inlineStr">
        <is>
          <t>—</t>
        </is>
      </c>
      <c r="H8" s="7" t="inlineStr">
        <is>
          <t>[project_number] project_name | UUID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project_id</t>
        </is>
      </c>
      <c r="L8" s="7" t="inlineStr">
        <is>
          <t>On change: auto-fills cboDept + cboContractor.</t>
        </is>
      </c>
      <c r="M8" s="22" t="inlineStr"/>
      <c r="N8" s="22" t="inlineStr"/>
    </row>
    <row r="9" ht="15" customHeight="1">
      <c r="A9" s="32" t="inlineStr">
        <is>
          <t>cboDept</t>
        </is>
      </c>
      <c r="B9" s="21" t="inlineStr">
        <is>
          <t>cbo</t>
        </is>
      </c>
      <c r="C9" s="21" t="inlineStr">
        <is>
          <t>frSiteForm</t>
        </is>
      </c>
      <c r="D9" s="21" t="inlineStr">
        <is>
          <t>Department</t>
        </is>
      </c>
      <c r="E9" s="21" t="inlineStr">
        <is>
          <t>القسم</t>
        </is>
      </c>
      <c r="F9" s="21" t="inlineStr">
        <is>
          <t>departments WHERE entity_id</t>
        </is>
      </c>
      <c r="G9" s="21" t="inlineStr">
        <is>
          <t>—</t>
        </is>
      </c>
      <c r="H9" s="21" t="inlineStr">
        <is>
          <t>dept_code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dept_id</t>
        </is>
      </c>
      <c r="L9" s="21" t="inlineStr">
        <is>
          <t>Auto-filled from project.</t>
        </is>
      </c>
      <c r="M9" s="22" t="inlineStr"/>
      <c r="N9" s="22" t="inlineStr"/>
    </row>
    <row r="10" ht="15" customHeight="1">
      <c r="A10" s="32" t="inlineStr">
        <is>
          <t>txtJobNo</t>
        </is>
      </c>
      <c r="B10" s="7" t="inlineStr">
        <is>
          <t>txt</t>
        </is>
      </c>
      <c r="C10" s="7" t="inlineStr">
        <is>
          <t>frSiteForm</t>
        </is>
      </c>
      <c r="D10" s="7" t="inlineStr">
        <is>
          <t>Job # / Site # *</t>
        </is>
      </c>
      <c r="E10" s="7" t="inlineStr">
        <is>
          <t>رقم الموقع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Contractor's reference number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job_no</t>
        </is>
      </c>
      <c r="L10" s="7" t="inlineStr"/>
      <c r="M10" s="22" t="inlineStr"/>
      <c r="N10" s="22" t="inlineStr"/>
    </row>
    <row r="11" ht="15" customHeight="1">
      <c r="A11" s="32" t="inlineStr">
        <is>
          <t>txtSiteName</t>
        </is>
      </c>
      <c r="B11" s="21" t="inlineStr">
        <is>
          <t>txt</t>
        </is>
      </c>
      <c r="C11" s="21" t="inlineStr">
        <is>
          <t>frSiteForm</t>
        </is>
      </c>
      <c r="D11" s="21" t="inlineStr">
        <is>
          <t>Site Name</t>
        </is>
      </c>
      <c r="E11" s="21" t="inlineStr">
        <is>
          <t>اسم الموقع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e.g. King Fahd Road Tower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site_name</t>
        </is>
      </c>
      <c r="L11" s="21" t="inlineStr"/>
      <c r="M11" s="22" t="inlineStr"/>
      <c r="N11" s="22" t="inlineStr"/>
    </row>
    <row r="12" ht="15" customHeight="1">
      <c r="A12" s="32" t="inlineStr">
        <is>
          <t>txtLocation</t>
        </is>
      </c>
      <c r="B12" s="7" t="inlineStr">
        <is>
          <t>txt</t>
        </is>
      </c>
      <c r="C12" s="7" t="inlineStr">
        <is>
          <t>frSiteForm</t>
        </is>
      </c>
      <c r="D12" s="7" t="inlineStr">
        <is>
          <t>Location</t>
        </is>
      </c>
      <c r="E12" s="7" t="inlineStr">
        <is>
          <t>الموقع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City / Area / Address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location</t>
        </is>
      </c>
      <c r="L12" s="7" t="inlineStr"/>
      <c r="M12" s="22" t="inlineStr"/>
      <c r="N12" s="22" t="inlineStr"/>
    </row>
    <row r="13" ht="15" customHeight="1">
      <c r="A13" s="32" t="inlineStr">
        <is>
          <t>txtStartDate</t>
        </is>
      </c>
      <c r="B13" s="21" t="inlineStr">
        <is>
          <t>txt</t>
        </is>
      </c>
      <c r="C13" s="21" t="inlineStr">
        <is>
          <t>frSiteForm</t>
        </is>
      </c>
      <c r="D13" s="21" t="inlineStr">
        <is>
          <t>Start Date</t>
        </is>
      </c>
      <c r="E13" s="21" t="inlineStr">
        <is>
          <t>تاريخ البداية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DD/MM/YYYY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start_date</t>
        </is>
      </c>
      <c r="L13" s="21" t="inlineStr"/>
      <c r="M13" s="22" t="inlineStr"/>
      <c r="N13" s="22" t="inlineStr"/>
    </row>
    <row r="14" ht="15" customHeight="1">
      <c r="A14" s="32" t="inlineStr">
        <is>
          <t>txtEndDate</t>
        </is>
      </c>
      <c r="B14" s="7" t="inlineStr">
        <is>
          <t>txt</t>
        </is>
      </c>
      <c r="C14" s="7" t="inlineStr">
        <is>
          <t>frSiteForm</t>
        </is>
      </c>
      <c r="D14" s="7" t="inlineStr">
        <is>
          <t>End Date</t>
        </is>
      </c>
      <c r="E14" s="7" t="inlineStr">
        <is>
          <t>تاريخ الانتهاء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DD/MM/YYYY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end_date</t>
        </is>
      </c>
      <c r="L14" s="7" t="inlineStr"/>
      <c r="M14" s="22" t="inlineStr"/>
      <c r="N14" s="22" t="inlineStr"/>
    </row>
    <row r="15" ht="15" customHeight="1">
      <c r="A15" s="32" t="inlineStr">
        <is>
          <t>cboContractor</t>
        </is>
      </c>
      <c r="B15" s="21" t="inlineStr">
        <is>
          <t>cbo</t>
        </is>
      </c>
      <c r="C15" s="21" t="inlineStr">
        <is>
          <t>frSiteForm</t>
        </is>
      </c>
      <c r="D15" s="21" t="inlineStr">
        <is>
          <t>Contractor</t>
        </is>
      </c>
      <c r="E15" s="21" t="inlineStr">
        <is>
          <t>المقاول</t>
        </is>
      </c>
      <c r="F15" s="21" t="inlineStr">
        <is>
          <t>contractors WHERE entity_id</t>
        </is>
      </c>
      <c r="G15" s="21" t="inlineStr">
        <is>
          <t>—</t>
        </is>
      </c>
      <c r="H15" s="21" t="inlineStr">
        <is>
          <t>contractor_name | UUID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contractor_id</t>
        </is>
      </c>
      <c r="L15" s="21" t="inlineStr">
        <is>
          <t>Auto-filled from project if project has contractor.</t>
        </is>
      </c>
      <c r="M15" s="22" t="inlineStr"/>
      <c r="N15" s="22" t="inlineStr"/>
    </row>
    <row r="16" ht="15" customHeight="1">
      <c r="A16" s="32" t="inlineStr">
        <is>
          <t>txtContractValue</t>
        </is>
      </c>
      <c r="B16" s="7" t="inlineStr">
        <is>
          <t>txt</t>
        </is>
      </c>
      <c r="C16" s="7" t="inlineStr">
        <is>
          <t>frSiteForm</t>
        </is>
      </c>
      <c r="D16" s="7" t="inlineStr">
        <is>
          <t>Contract Value (SAR)</t>
        </is>
      </c>
      <c r="E16" s="7" t="inlineStr">
        <is>
          <t>قيمة العقد</t>
        </is>
      </c>
      <c r="F16" s="7" t="inlineStr">
        <is>
          <t>User</t>
        </is>
      </c>
      <c r="G16" s="7" t="inlineStr">
        <is>
          <t>—</t>
        </is>
      </c>
      <c r="H16" s="7" t="inlineStr">
        <is>
          <t>#,##0.00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contract_value</t>
        </is>
      </c>
      <c r="L16" s="7" t="inlineStr"/>
      <c r="M16" s="22" t="inlineStr"/>
      <c r="N16" s="22" t="inlineStr"/>
    </row>
    <row r="17" ht="15" customHeight="1">
      <c r="A17" s="32" t="inlineStr">
        <is>
          <t>txtNotes</t>
        </is>
      </c>
      <c r="B17" s="21" t="inlineStr">
        <is>
          <t>txt</t>
        </is>
      </c>
      <c r="C17" s="21" t="inlineStr">
        <is>
          <t>frSiteForm</t>
        </is>
      </c>
      <c r="D17" s="21" t="inlineStr">
        <is>
          <t>Notes</t>
        </is>
      </c>
      <c r="E17" s="21" t="inlineStr">
        <is>
          <t>ملاحظات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Free text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notes</t>
        </is>
      </c>
      <c r="L17" s="21" t="inlineStr"/>
      <c r="M17" s="22" t="inlineStr"/>
      <c r="N17" s="22" t="inlineStr"/>
    </row>
    <row r="18" ht="17" customHeight="1">
      <c r="A18" s="31" t="inlineStr">
        <is>
          <t xml:space="preserve">  ▸  frMilestones  —  Milestones Sub-Table  (progress tracking)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 t="n"/>
    </row>
    <row r="19" ht="15" customHeight="1">
      <c r="A19" s="32" t="inlineStr">
        <is>
          <t>txtMilestoneTitle</t>
        </is>
      </c>
      <c r="B19" s="21" t="inlineStr">
        <is>
          <t>txt</t>
        </is>
      </c>
      <c r="C19" s="21" t="inlineStr">
        <is>
          <t>frMilestones</t>
        </is>
      </c>
      <c r="D19" s="21" t="inlineStr">
        <is>
          <t>Milestone Title</t>
        </is>
      </c>
      <c r="E19" s="21" t="inlineStr">
        <is>
          <t>عنوان المرحلة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Free text</t>
        </is>
      </c>
      <c r="I19" s="21" t="inlineStr">
        <is>
          <t>Y</t>
        </is>
      </c>
      <c r="J19" s="21" t="inlineStr">
        <is>
          <t>N</t>
        </is>
      </c>
      <c r="K19" s="21" t="inlineStr">
        <is>
          <t>site_milestones.title</t>
        </is>
      </c>
      <c r="L19" s="21" t="inlineStr"/>
      <c r="M19" s="22" t="inlineStr"/>
      <c r="N19" s="22" t="inlineStr"/>
    </row>
    <row r="20" ht="15" customHeight="1">
      <c r="A20" s="32" t="inlineStr">
        <is>
          <t>txtMilestoneDue</t>
        </is>
      </c>
      <c r="B20" s="7" t="inlineStr">
        <is>
          <t>txt</t>
        </is>
      </c>
      <c r="C20" s="7" t="inlineStr">
        <is>
          <t>frMilestones</t>
        </is>
      </c>
      <c r="D20" s="7" t="inlineStr">
        <is>
          <t>Due Date</t>
        </is>
      </c>
      <c r="E20" s="7" t="inlineStr">
        <is>
          <t>تاريخ الاستحقاق</t>
        </is>
      </c>
      <c r="F20" s="7" t="inlineStr">
        <is>
          <t>User</t>
        </is>
      </c>
      <c r="G20" s="7" t="inlineStr">
        <is>
          <t>—</t>
        </is>
      </c>
      <c r="H20" s="7" t="inlineStr">
        <is>
          <t>DD/MM/YYYY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site_milestones.due_date</t>
        </is>
      </c>
      <c r="L20" s="7" t="inlineStr"/>
      <c r="M20" s="22" t="inlineStr"/>
      <c r="N20" s="22" t="inlineStr"/>
    </row>
    <row r="21" ht="15" customHeight="1">
      <c r="A21" s="32" t="inlineStr">
        <is>
          <t>cboMilestoneStatus</t>
        </is>
      </c>
      <c r="B21" s="21" t="inlineStr">
        <is>
          <t>cbo</t>
        </is>
      </c>
      <c r="C21" s="21" t="inlineStr">
        <is>
          <t>frMilestones</t>
        </is>
      </c>
      <c r="D21" s="21" t="inlineStr">
        <is>
          <t>Status</t>
        </is>
      </c>
      <c r="E21" s="21" t="inlineStr">
        <is>
          <t>الحالة</t>
        </is>
      </c>
      <c r="F21" s="21" t="inlineStr">
        <is>
          <t>Hardcoded</t>
        </is>
      </c>
      <c r="G21" s="21" t="inlineStr">
        <is>
          <t>—</t>
        </is>
      </c>
      <c r="H21" s="21" t="inlineStr">
        <is>
          <t>PENDING|IN_PROGRESS|COMPLETED|DELAYED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site_milestones.status</t>
        </is>
      </c>
      <c r="L21" s="21" t="inlineStr"/>
      <c r="M21" s="22" t="inlineStr"/>
      <c r="N21" s="22" t="inlineStr"/>
    </row>
    <row r="22" ht="15" customHeight="1">
      <c r="A22" s="32" t="inlineStr">
        <is>
          <t>txtMilestoneNotes</t>
        </is>
      </c>
      <c r="B22" s="7" t="inlineStr">
        <is>
          <t>txt</t>
        </is>
      </c>
      <c r="C22" s="7" t="inlineStr">
        <is>
          <t>frMilestones</t>
        </is>
      </c>
      <c r="D22" s="7" t="inlineStr">
        <is>
          <t>Notes</t>
        </is>
      </c>
      <c r="E22" s="7" t="inlineStr">
        <is>
          <t>ملاحظات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Free text</t>
        </is>
      </c>
      <c r="I22" s="7" t="inlineStr">
        <is>
          <t>N</t>
        </is>
      </c>
      <c r="J22" s="7" t="inlineStr">
        <is>
          <t>N</t>
        </is>
      </c>
      <c r="K22" s="7" t="inlineStr">
        <is>
          <t>site_milestones.notes</t>
        </is>
      </c>
      <c r="L22" s="7" t="inlineStr"/>
      <c r="M22" s="22" t="inlineStr"/>
      <c r="N22" s="22" t="inlineStr"/>
    </row>
  </sheetData>
  <mergeCells count="4">
    <mergeCell ref="A18:N18"/>
    <mergeCell ref="A4:N4"/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frmVehicles  —  Fleet / Vehicles  |  App → Operations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frVehicleForm  —  Add / Edit Vehicle (modal)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txtPlateNumber</t>
        </is>
      </c>
      <c r="B5" s="21" t="inlineStr">
        <is>
          <t>txt</t>
        </is>
      </c>
      <c r="C5" s="21" t="inlineStr">
        <is>
          <t>frVehicleForm</t>
        </is>
      </c>
      <c r="D5" s="21" t="inlineStr">
        <is>
          <t>Plate Number *</t>
        </is>
      </c>
      <c r="E5" s="21" t="inlineStr">
        <is>
          <t>رقم اللوحة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Saudi plate format e.g. ABC 1234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plate_number</t>
        </is>
      </c>
      <c r="L5" s="21" t="inlineStr"/>
      <c r="M5" s="22" t="inlineStr"/>
      <c r="N5" s="22" t="inlineStr"/>
    </row>
    <row r="6" ht="15" customHeight="1">
      <c r="A6" s="32" t="inlineStr">
        <is>
          <t>cboVehicleType</t>
        </is>
      </c>
      <c r="B6" s="7" t="inlineStr">
        <is>
          <t>cbo</t>
        </is>
      </c>
      <c r="C6" s="7" t="inlineStr">
        <is>
          <t>frVehicleForm</t>
        </is>
      </c>
      <c r="D6" s="7" t="inlineStr">
        <is>
          <t>Vehicle Type *</t>
        </is>
      </c>
      <c r="E6" s="7" t="inlineStr">
        <is>
          <t>نوع المركبة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SUV|SEDAN|PICKUP|VAN|TRUCK|BUS|MOTORCYCLE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vehicle_type</t>
        </is>
      </c>
      <c r="L6" s="7" t="inlineStr"/>
      <c r="M6" s="22" t="inlineStr"/>
      <c r="N6" s="22" t="inlineStr"/>
    </row>
    <row r="7" ht="15" customHeight="1">
      <c r="A7" s="32" t="inlineStr">
        <is>
          <t>txtMake</t>
        </is>
      </c>
      <c r="B7" s="21" t="inlineStr">
        <is>
          <t>txt</t>
        </is>
      </c>
      <c r="C7" s="21" t="inlineStr">
        <is>
          <t>frVehicleForm</t>
        </is>
      </c>
      <c r="D7" s="21" t="inlineStr">
        <is>
          <t>Make / Brand</t>
        </is>
      </c>
      <c r="E7" s="21" t="inlineStr">
        <is>
          <t>الماركة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e.g. Toyota | Ford | Isuzu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make</t>
        </is>
      </c>
      <c r="L7" s="21" t="inlineStr"/>
      <c r="M7" s="22" t="inlineStr"/>
      <c r="N7" s="22" t="inlineStr"/>
    </row>
    <row r="8" ht="15" customHeight="1">
      <c r="A8" s="32" t="inlineStr">
        <is>
          <t>txtModel</t>
        </is>
      </c>
      <c r="B8" s="7" t="inlineStr">
        <is>
          <t>txt</t>
        </is>
      </c>
      <c r="C8" s="7" t="inlineStr">
        <is>
          <t>frVehicleForm</t>
        </is>
      </c>
      <c r="D8" s="7" t="inlineStr">
        <is>
          <t>Model</t>
        </is>
      </c>
      <c r="E8" s="7" t="inlineStr">
        <is>
          <t>الموديل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e.g. Land Cruiser | F-150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model</t>
        </is>
      </c>
      <c r="L8" s="7" t="inlineStr"/>
      <c r="M8" s="22" t="inlineStr"/>
      <c r="N8" s="22" t="inlineStr"/>
    </row>
    <row r="9" ht="15" customHeight="1">
      <c r="A9" s="32" t="inlineStr">
        <is>
          <t>txtYear</t>
        </is>
      </c>
      <c r="B9" s="21" t="inlineStr">
        <is>
          <t>txt</t>
        </is>
      </c>
      <c r="C9" s="21" t="inlineStr">
        <is>
          <t>frVehicleForm</t>
        </is>
      </c>
      <c r="D9" s="21" t="inlineStr">
        <is>
          <t>Year</t>
        </is>
      </c>
      <c r="E9" s="21" t="inlineStr">
        <is>
          <t>سنة الصنع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4-digit year e.g. 2022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year</t>
        </is>
      </c>
      <c r="L9" s="21" t="inlineStr"/>
      <c r="M9" s="22" t="inlineStr"/>
      <c r="N9" s="22" t="inlineStr"/>
    </row>
    <row r="10" ht="15" customHeight="1">
      <c r="A10" s="32" t="inlineStr">
        <is>
          <t>txtColor</t>
        </is>
      </c>
      <c r="B10" s="7" t="inlineStr">
        <is>
          <t>txt</t>
        </is>
      </c>
      <c r="C10" s="7" t="inlineStr">
        <is>
          <t>frVehicleForm</t>
        </is>
      </c>
      <c r="D10" s="7" t="inlineStr">
        <is>
          <t>Color</t>
        </is>
      </c>
      <c r="E10" s="7" t="inlineStr">
        <is>
          <t>اللون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color</t>
        </is>
      </c>
      <c r="L10" s="7" t="inlineStr"/>
      <c r="M10" s="22" t="inlineStr"/>
      <c r="N10" s="22" t="inlineStr"/>
    </row>
    <row r="11" ht="15" customHeight="1">
      <c r="A11" s="32" t="inlineStr">
        <is>
          <t>txtChassisNo</t>
        </is>
      </c>
      <c r="B11" s="21" t="inlineStr">
        <is>
          <t>txt</t>
        </is>
      </c>
      <c r="C11" s="21" t="inlineStr">
        <is>
          <t>frVehicleForm</t>
        </is>
      </c>
      <c r="D11" s="21" t="inlineStr">
        <is>
          <t>Chassis / VIN #</t>
        </is>
      </c>
      <c r="E11" s="21" t="inlineStr">
        <is>
          <t>رقم الشاسيه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17 chars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chassis_no</t>
        </is>
      </c>
      <c r="L11" s="21" t="inlineStr"/>
      <c r="M11" s="22" t="inlineStr"/>
      <c r="N11" s="22" t="inlineStr"/>
    </row>
    <row r="12" ht="15" customHeight="1">
      <c r="A12" s="32" t="inlineStr">
        <is>
          <t>txtEngineNo</t>
        </is>
      </c>
      <c r="B12" s="7" t="inlineStr">
        <is>
          <t>txt</t>
        </is>
      </c>
      <c r="C12" s="7" t="inlineStr">
        <is>
          <t>frVehicleForm</t>
        </is>
      </c>
      <c r="D12" s="7" t="inlineStr">
        <is>
          <t>Engine #</t>
        </is>
      </c>
      <c r="E12" s="7" t="inlineStr">
        <is>
          <t>رقم المحرك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engine_no</t>
        </is>
      </c>
      <c r="L12" s="7" t="inlineStr"/>
      <c r="M12" s="22" t="inlineStr"/>
      <c r="N12" s="22" t="inlineStr"/>
    </row>
    <row r="13" ht="15" customHeight="1">
      <c r="A13" s="32" t="inlineStr">
        <is>
          <t>cboFuelType</t>
        </is>
      </c>
      <c r="B13" s="21" t="inlineStr">
        <is>
          <t>cbo</t>
        </is>
      </c>
      <c r="C13" s="21" t="inlineStr">
        <is>
          <t>frVehicleForm</t>
        </is>
      </c>
      <c r="D13" s="21" t="inlineStr">
        <is>
          <t>Fuel Type</t>
        </is>
      </c>
      <c r="E13" s="21" t="inlineStr">
        <is>
          <t>نوع الوقود</t>
        </is>
      </c>
      <c r="F13" s="21" t="inlineStr">
        <is>
          <t>Hardcoded</t>
        </is>
      </c>
      <c r="G13" s="21" t="inlineStr">
        <is>
          <t>—</t>
        </is>
      </c>
      <c r="H13" s="21" t="inlineStr">
        <is>
          <t>PETROL|DIESEL|HYBRID|ELECTRIC|LPG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fuel_type</t>
        </is>
      </c>
      <c r="L13" s="21" t="inlineStr"/>
      <c r="M13" s="22" t="inlineStr"/>
      <c r="N13" s="22" t="inlineStr"/>
    </row>
    <row r="14" ht="15" customHeight="1">
      <c r="A14" s="32" t="inlineStr">
        <is>
          <t>txtDriverName</t>
        </is>
      </c>
      <c r="B14" s="7" t="inlineStr">
        <is>
          <t>txt</t>
        </is>
      </c>
      <c r="C14" s="7" t="inlineStr">
        <is>
          <t>frVehicleForm</t>
        </is>
      </c>
      <c r="D14" s="7" t="inlineStr">
        <is>
          <t>Driver / Assigned To</t>
        </is>
      </c>
      <c r="E14" s="7" t="inlineStr">
        <is>
          <t>السائق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driver_name</t>
        </is>
      </c>
      <c r="L14" s="7" t="inlineStr"/>
      <c r="M14" s="22" t="inlineStr"/>
      <c r="N14" s="22" t="inlineStr"/>
    </row>
    <row r="15" ht="15" customHeight="1">
      <c r="A15" s="32" t="inlineStr">
        <is>
          <t>txtDriverId</t>
        </is>
      </c>
      <c r="B15" s="21" t="inlineStr">
        <is>
          <t>txt</t>
        </is>
      </c>
      <c r="C15" s="21" t="inlineStr">
        <is>
          <t>frVehicleForm</t>
        </is>
      </c>
      <c r="D15" s="21" t="inlineStr">
        <is>
          <t>Driver ID / Iqama</t>
        </is>
      </c>
      <c r="E15" s="21" t="inlineStr">
        <is>
          <t>هوية السائق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10 digits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driver_id_no</t>
        </is>
      </c>
      <c r="L15" s="21" t="inlineStr"/>
      <c r="M15" s="22" t="inlineStr"/>
      <c r="N15" s="22" t="inlineStr"/>
    </row>
    <row r="16" ht="15" customHeight="1">
      <c r="A16" s="32" t="inlineStr">
        <is>
          <t>cboDept</t>
        </is>
      </c>
      <c r="B16" s="7" t="inlineStr">
        <is>
          <t>cbo</t>
        </is>
      </c>
      <c r="C16" s="7" t="inlineStr">
        <is>
          <t>frVehicleForm</t>
        </is>
      </c>
      <c r="D16" s="7" t="inlineStr">
        <is>
          <t>Assigned Department</t>
        </is>
      </c>
      <c r="E16" s="7" t="inlineStr">
        <is>
          <t>القسم</t>
        </is>
      </c>
      <c r="F16" s="7" t="inlineStr">
        <is>
          <t>departments WHERE entity_id</t>
        </is>
      </c>
      <c r="G16" s="7" t="inlineStr">
        <is>
          <t>—</t>
        </is>
      </c>
      <c r="H16" s="7" t="inlineStr">
        <is>
          <t>dept_code | UUID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assigned_department</t>
        </is>
      </c>
      <c r="L16" s="7" t="inlineStr"/>
      <c r="M16" s="22" t="inlineStr"/>
      <c r="N16" s="22" t="inlineStr"/>
    </row>
    <row r="17" ht="15" customHeight="1">
      <c r="A17" s="32" t="inlineStr">
        <is>
          <t>txtOdometer</t>
        </is>
      </c>
      <c r="B17" s="21" t="inlineStr">
        <is>
          <t>txt</t>
        </is>
      </c>
      <c r="C17" s="21" t="inlineStr">
        <is>
          <t>frVehicleForm</t>
        </is>
      </c>
      <c r="D17" s="21" t="inlineStr">
        <is>
          <t>Odometer (KM)</t>
        </is>
      </c>
      <c r="E17" s="21" t="inlineStr">
        <is>
          <t>عداد المسافة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Integer KM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odometer_reading</t>
        </is>
      </c>
      <c r="L17" s="21" t="inlineStr"/>
      <c r="M17" s="22" t="inlineStr"/>
      <c r="N17" s="22" t="inlineStr"/>
    </row>
    <row r="18" ht="15" customHeight="1">
      <c r="A18" s="32" t="inlineStr">
        <is>
          <t>cboStatus</t>
        </is>
      </c>
      <c r="B18" s="7" t="inlineStr">
        <is>
          <t>cbo</t>
        </is>
      </c>
      <c r="C18" s="7" t="inlineStr">
        <is>
          <t>frVehicleForm</t>
        </is>
      </c>
      <c r="D18" s="7" t="inlineStr">
        <is>
          <t>Status</t>
        </is>
      </c>
      <c r="E18" s="7" t="inlineStr">
        <is>
          <t>الحالة</t>
        </is>
      </c>
      <c r="F18" s="7" t="inlineStr">
        <is>
          <t>Hardcoded</t>
        </is>
      </c>
      <c r="G18" s="7" t="inlineStr">
        <is>
          <t>—</t>
        </is>
      </c>
      <c r="H18" s="7" t="inlineStr">
        <is>
          <t>ACTIVE|IN_WORKSHOP|SOLD|DECOMMISSIONED</t>
        </is>
      </c>
      <c r="I18" s="7" t="inlineStr">
        <is>
          <t>Y</t>
        </is>
      </c>
      <c r="J18" s="7" t="inlineStr">
        <is>
          <t>N</t>
        </is>
      </c>
      <c r="K18" s="7" t="inlineStr">
        <is>
          <t>status</t>
        </is>
      </c>
      <c r="L18" s="7" t="inlineStr"/>
      <c r="M18" s="22" t="inlineStr"/>
      <c r="N18" s="22" t="inlineStr"/>
    </row>
    <row r="19" ht="17" customHeight="1">
      <c r="A19" s="31" t="inlineStr">
        <is>
          <t xml:space="preserve">  ▸  frDocExpiry  —  Document Expiry Dates  (sync to Compliance module)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4" t="n"/>
    </row>
    <row r="20" ht="15" customHeight="1">
      <c r="A20" s="32" t="inlineStr">
        <is>
          <t>txtInsExpiry</t>
        </is>
      </c>
      <c r="B20" s="7" t="inlineStr">
        <is>
          <t>txt</t>
        </is>
      </c>
      <c r="C20" s="7" t="inlineStr">
        <is>
          <t>frDocExpiry</t>
        </is>
      </c>
      <c r="D20" s="7" t="inlineStr">
        <is>
          <t>Insurance Expiry</t>
        </is>
      </c>
      <c r="E20" s="7" t="inlineStr">
        <is>
          <t>انتهاء التأمين</t>
        </is>
      </c>
      <c r="F20" s="7" t="inlineStr">
        <is>
          <t>User</t>
        </is>
      </c>
      <c r="G20" s="7" t="inlineStr">
        <is>
          <t>—</t>
        </is>
      </c>
      <c r="H20" s="7" t="inlineStr">
        <is>
          <t>DD/MM/YYYY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ins_expiry</t>
        </is>
      </c>
      <c r="L20" s="7" t="inlineStr">
        <is>
          <t>Auto-syncs to compliance_docs as VEHICLE_INSURANCE.</t>
        </is>
      </c>
      <c r="M20" s="22" t="inlineStr"/>
      <c r="N20" s="22" t="inlineStr"/>
    </row>
    <row r="21" ht="15" customHeight="1">
      <c r="A21" s="32" t="inlineStr">
        <is>
          <t>txtMVPIExpiry</t>
        </is>
      </c>
      <c r="B21" s="21" t="inlineStr">
        <is>
          <t>txt</t>
        </is>
      </c>
      <c r="C21" s="21" t="inlineStr">
        <is>
          <t>frDocExpiry</t>
        </is>
      </c>
      <c r="D21" s="21" t="inlineStr">
        <is>
          <t>MVPI Expiry</t>
        </is>
      </c>
      <c r="E21" s="21" t="inlineStr">
        <is>
          <t>انتهاء الفحص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DD/MM/YYYY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mvpi_expiry</t>
        </is>
      </c>
      <c r="L21" s="21" t="inlineStr">
        <is>
          <t>Motor Vehicle Periodic Inspection.</t>
        </is>
      </c>
      <c r="M21" s="22" t="inlineStr"/>
      <c r="N21" s="22" t="inlineStr"/>
    </row>
    <row r="22" ht="15" customHeight="1">
      <c r="A22" s="32" t="inlineStr">
        <is>
          <t>txtRegExpiry</t>
        </is>
      </c>
      <c r="B22" s="7" t="inlineStr">
        <is>
          <t>txt</t>
        </is>
      </c>
      <c r="C22" s="7" t="inlineStr">
        <is>
          <t>frDocExpiry</t>
        </is>
      </c>
      <c r="D22" s="7" t="inlineStr">
        <is>
          <t>Registration Expiry</t>
        </is>
      </c>
      <c r="E22" s="7" t="inlineStr">
        <is>
          <t>انتهاء الاستمارة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DD/MM/YYYY</t>
        </is>
      </c>
      <c r="I22" s="7" t="inlineStr">
        <is>
          <t>N</t>
        </is>
      </c>
      <c r="J22" s="7" t="inlineStr">
        <is>
          <t>N</t>
        </is>
      </c>
      <c r="K22" s="7" t="inlineStr">
        <is>
          <t>reg_expiry</t>
        </is>
      </c>
      <c r="L22" s="7" t="inlineStr">
        <is>
          <t>Vehicle registration.</t>
        </is>
      </c>
      <c r="M22" s="22" t="inlineStr"/>
      <c r="N22" s="22" t="inlineStr"/>
    </row>
    <row r="23" ht="15" customHeight="1">
      <c r="A23" s="32" t="inlineStr">
        <is>
          <t>txtSaherExpiry</t>
        </is>
      </c>
      <c r="B23" s="21" t="inlineStr">
        <is>
          <t>txt</t>
        </is>
      </c>
      <c r="C23" s="21" t="inlineStr">
        <is>
          <t>frDocExpiry</t>
        </is>
      </c>
      <c r="D23" s="21" t="inlineStr">
        <is>
          <t>Saher Subscription Expiry</t>
        </is>
      </c>
      <c r="E23" s="21" t="inlineStr">
        <is>
          <t>انتهاء سهر</t>
        </is>
      </c>
      <c r="F23" s="21" t="inlineStr">
        <is>
          <t>User</t>
        </is>
      </c>
      <c r="G23" s="21" t="inlineStr">
        <is>
          <t>—</t>
        </is>
      </c>
      <c r="H23" s="21" t="inlineStr">
        <is>
          <t>DD/MM/YYYY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saher_expiry</t>
        </is>
      </c>
      <c r="L23" s="21" t="inlineStr">
        <is>
          <t>Saher traffic monitoring.</t>
        </is>
      </c>
      <c r="M23" s="22" t="inlineStr"/>
      <c r="N23" s="22" t="inlineStr"/>
    </row>
    <row r="24" ht="15" customHeight="1">
      <c r="A24" s="32" t="inlineStr">
        <is>
          <t>txtNotes</t>
        </is>
      </c>
      <c r="B24" s="7" t="inlineStr">
        <is>
          <t>txt</t>
        </is>
      </c>
      <c r="C24" s="7" t="inlineStr">
        <is>
          <t>frDocExpiry</t>
        </is>
      </c>
      <c r="D24" s="7" t="inlineStr">
        <is>
          <t>Notes</t>
        </is>
      </c>
      <c r="E24" s="7" t="inlineStr">
        <is>
          <t>ملاحظات</t>
        </is>
      </c>
      <c r="F24" s="7" t="inlineStr">
        <is>
          <t>User</t>
        </is>
      </c>
      <c r="G24" s="7" t="inlineStr">
        <is>
          <t>—</t>
        </is>
      </c>
      <c r="H24" s="7" t="inlineStr">
        <is>
          <t>Free text</t>
        </is>
      </c>
      <c r="I24" s="7" t="inlineStr">
        <is>
          <t>N</t>
        </is>
      </c>
      <c r="J24" s="7" t="inlineStr">
        <is>
          <t>N</t>
        </is>
      </c>
      <c r="K24" s="7" t="inlineStr">
        <is>
          <t>notes</t>
        </is>
      </c>
      <c r="L24" s="7" t="inlineStr"/>
      <c r="M24" s="22" t="inlineStr"/>
      <c r="N24" s="22" t="inlineStr"/>
    </row>
    <row r="25" ht="17" customHeight="1">
      <c r="A25" s="31" t="inlineStr">
        <is>
          <t xml:space="preserve">  ▸  frMaintenance  —  Maintenance Records  (sub-table — modal)</t>
        </is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4" t="n"/>
    </row>
    <row r="26" ht="15" customHeight="1">
      <c r="A26" s="32" t="inlineStr">
        <is>
          <t>cboMaintType</t>
        </is>
      </c>
      <c r="B26" s="7" t="inlineStr">
        <is>
          <t>cbo</t>
        </is>
      </c>
      <c r="C26" s="7" t="inlineStr">
        <is>
          <t>frMaintenance</t>
        </is>
      </c>
      <c r="D26" s="7" t="inlineStr">
        <is>
          <t>Maintenance Type</t>
        </is>
      </c>
      <c r="E26" s="7" t="inlineStr">
        <is>
          <t>نوع الصيانة</t>
        </is>
      </c>
      <c r="F26" s="7" t="inlineStr">
        <is>
          <t>Hardcoded</t>
        </is>
      </c>
      <c r="G26" s="7" t="inlineStr">
        <is>
          <t>—</t>
        </is>
      </c>
      <c r="H26" s="7" t="inlineStr">
        <is>
          <t>OIL_CHANGE|TIRE_CHANGE|BATTERY|BRAKE|AC|GENERAL|ACCIDENT_REPAIR|OTHER</t>
        </is>
      </c>
      <c r="I26" s="7" t="inlineStr">
        <is>
          <t>Y</t>
        </is>
      </c>
      <c r="J26" s="7" t="inlineStr">
        <is>
          <t>N</t>
        </is>
      </c>
      <c r="K26" s="7" t="inlineStr">
        <is>
          <t>vehicle_maintenance.maintenance_type</t>
        </is>
      </c>
      <c r="L26" s="7" t="inlineStr"/>
      <c r="M26" s="22" t="inlineStr"/>
      <c r="N26" s="22" t="inlineStr"/>
    </row>
    <row r="27" ht="15" customHeight="1">
      <c r="A27" s="32" t="inlineStr">
        <is>
          <t>txtMaintDesc</t>
        </is>
      </c>
      <c r="B27" s="21" t="inlineStr">
        <is>
          <t>txt</t>
        </is>
      </c>
      <c r="C27" s="21" t="inlineStr">
        <is>
          <t>frMaintenance</t>
        </is>
      </c>
      <c r="D27" s="21" t="inlineStr">
        <is>
          <t>Description</t>
        </is>
      </c>
      <c r="E27" s="21" t="inlineStr">
        <is>
          <t>الوصف</t>
        </is>
      </c>
      <c r="F27" s="21" t="inlineStr">
        <is>
          <t>User</t>
        </is>
      </c>
      <c r="G27" s="21" t="inlineStr">
        <is>
          <t>—</t>
        </is>
      </c>
      <c r="H27" s="21" t="inlineStr">
        <is>
          <t>Free text</t>
        </is>
      </c>
      <c r="I27" s="21" t="inlineStr">
        <is>
          <t>N</t>
        </is>
      </c>
      <c r="J27" s="21" t="inlineStr">
        <is>
          <t>N</t>
        </is>
      </c>
      <c r="K27" s="21" t="inlineStr">
        <is>
          <t>vehicle_maintenance.description</t>
        </is>
      </c>
      <c r="L27" s="21" t="inlineStr"/>
      <c r="M27" s="22" t="inlineStr"/>
      <c r="N27" s="22" t="inlineStr"/>
    </row>
    <row r="28" ht="15" customHeight="1">
      <c r="A28" s="32" t="inlineStr">
        <is>
          <t>txtMaintCost</t>
        </is>
      </c>
      <c r="B28" s="7" t="inlineStr">
        <is>
          <t>txt</t>
        </is>
      </c>
      <c r="C28" s="7" t="inlineStr">
        <is>
          <t>frMaintenance</t>
        </is>
      </c>
      <c r="D28" s="7" t="inlineStr">
        <is>
          <t>Cost (SAR)</t>
        </is>
      </c>
      <c r="E28" s="7" t="inlineStr">
        <is>
          <t>التكلفة</t>
        </is>
      </c>
      <c r="F28" s="7" t="inlineStr">
        <is>
          <t>User</t>
        </is>
      </c>
      <c r="G28" s="7" t="inlineStr">
        <is>
          <t>—</t>
        </is>
      </c>
      <c r="H28" s="7" t="inlineStr">
        <is>
          <t>#,##0.00</t>
        </is>
      </c>
      <c r="I28" s="7" t="inlineStr">
        <is>
          <t>N</t>
        </is>
      </c>
      <c r="J28" s="7" t="inlineStr">
        <is>
          <t>N</t>
        </is>
      </c>
      <c r="K28" s="7" t="inlineStr">
        <is>
          <t>vehicle_maintenance.cost</t>
        </is>
      </c>
      <c r="L28" s="7" t="inlineStr"/>
      <c r="M28" s="22" t="inlineStr"/>
      <c r="N28" s="22" t="inlineStr"/>
    </row>
    <row r="29" ht="15" customHeight="1">
      <c r="A29" s="32" t="inlineStr">
        <is>
          <t>txtOdometerAtService</t>
        </is>
      </c>
      <c r="B29" s="21" t="inlineStr">
        <is>
          <t>txt</t>
        </is>
      </c>
      <c r="C29" s="21" t="inlineStr">
        <is>
          <t>frMaintenance</t>
        </is>
      </c>
      <c r="D29" s="21" t="inlineStr">
        <is>
          <t>Odometer at Service (KM)</t>
        </is>
      </c>
      <c r="E29" s="21" t="inlineStr">
        <is>
          <t>العداد عند الصيانة</t>
        </is>
      </c>
      <c r="F29" s="21" t="inlineStr">
        <is>
          <t>User</t>
        </is>
      </c>
      <c r="G29" s="21" t="inlineStr">
        <is>
          <t>—</t>
        </is>
      </c>
      <c r="H29" s="21" t="inlineStr">
        <is>
          <t>Integer</t>
        </is>
      </c>
      <c r="I29" s="21" t="inlineStr">
        <is>
          <t>N</t>
        </is>
      </c>
      <c r="J29" s="21" t="inlineStr">
        <is>
          <t>N</t>
        </is>
      </c>
      <c r="K29" s="21" t="inlineStr">
        <is>
          <t>vehicle_maintenance.odometer_at_service</t>
        </is>
      </c>
      <c r="L29" s="21" t="inlineStr"/>
      <c r="M29" s="22" t="inlineStr"/>
      <c r="N29" s="22" t="inlineStr"/>
    </row>
    <row r="30" ht="15" customHeight="1">
      <c r="A30" s="32" t="inlineStr">
        <is>
          <t>txtServiceDate</t>
        </is>
      </c>
      <c r="B30" s="7" t="inlineStr">
        <is>
          <t>txt</t>
        </is>
      </c>
      <c r="C30" s="7" t="inlineStr">
        <is>
          <t>frMaintenance</t>
        </is>
      </c>
      <c r="D30" s="7" t="inlineStr">
        <is>
          <t>Service Date</t>
        </is>
      </c>
      <c r="E30" s="7" t="inlineStr">
        <is>
          <t>تاريخ الصيانة</t>
        </is>
      </c>
      <c r="F30" s="7" t="inlineStr">
        <is>
          <t>User</t>
        </is>
      </c>
      <c r="G30" s="7" t="inlineStr">
        <is>
          <t>—</t>
        </is>
      </c>
      <c r="H30" s="7" t="inlineStr">
        <is>
          <t>DD/MM/YYYY | Default today</t>
        </is>
      </c>
      <c r="I30" s="7" t="inlineStr">
        <is>
          <t>Y</t>
        </is>
      </c>
      <c r="J30" s="7" t="inlineStr">
        <is>
          <t>N</t>
        </is>
      </c>
      <c r="K30" s="7" t="inlineStr">
        <is>
          <t>vehicle_maintenance.service_date</t>
        </is>
      </c>
      <c r="L30" s="7" t="inlineStr"/>
      <c r="M30" s="22" t="inlineStr"/>
      <c r="N30" s="22" t="inlineStr"/>
    </row>
    <row r="31" ht="15" customHeight="1">
      <c r="A31" s="32" t="inlineStr">
        <is>
          <t>txtNextServiceDate</t>
        </is>
      </c>
      <c r="B31" s="21" t="inlineStr">
        <is>
          <t>txt</t>
        </is>
      </c>
      <c r="C31" s="21" t="inlineStr">
        <is>
          <t>frMaintenance</t>
        </is>
      </c>
      <c r="D31" s="21" t="inlineStr">
        <is>
          <t>Next Service Date</t>
        </is>
      </c>
      <c r="E31" s="21" t="inlineStr">
        <is>
          <t>تاريخ الصيانة القادمة</t>
        </is>
      </c>
      <c r="F31" s="21" t="inlineStr">
        <is>
          <t>User</t>
        </is>
      </c>
      <c r="G31" s="21" t="inlineStr">
        <is>
          <t>—</t>
        </is>
      </c>
      <c r="H31" s="21" t="inlineStr">
        <is>
          <t>DD/MM/YYYY</t>
        </is>
      </c>
      <c r="I31" s="21" t="inlineStr">
        <is>
          <t>N</t>
        </is>
      </c>
      <c r="J31" s="21" t="inlineStr">
        <is>
          <t>N</t>
        </is>
      </c>
      <c r="K31" s="21" t="inlineStr">
        <is>
          <t>vehicle_maintenance.next_service_date</t>
        </is>
      </c>
      <c r="L31" s="21" t="inlineStr"/>
      <c r="M31" s="22" t="inlineStr"/>
      <c r="N31" s="22" t="inlineStr"/>
    </row>
    <row r="32" ht="15" customHeight="1">
      <c r="A32" s="32" t="inlineStr">
        <is>
          <t>txtWorkshop</t>
        </is>
      </c>
      <c r="B32" s="7" t="inlineStr">
        <is>
          <t>txt</t>
        </is>
      </c>
      <c r="C32" s="7" t="inlineStr">
        <is>
          <t>frMaintenance</t>
        </is>
      </c>
      <c r="D32" s="7" t="inlineStr">
        <is>
          <t>Workshop Name</t>
        </is>
      </c>
      <c r="E32" s="7" t="inlineStr">
        <is>
          <t>ورشة الصيانة</t>
        </is>
      </c>
      <c r="F32" s="7" t="inlineStr">
        <is>
          <t>User</t>
        </is>
      </c>
      <c r="G32" s="7" t="inlineStr">
        <is>
          <t>—</t>
        </is>
      </c>
      <c r="H32" s="7" t="inlineStr">
        <is>
          <t>Free text</t>
        </is>
      </c>
      <c r="I32" s="7" t="inlineStr">
        <is>
          <t>N</t>
        </is>
      </c>
      <c r="J32" s="7" t="inlineStr">
        <is>
          <t>N</t>
        </is>
      </c>
      <c r="K32" s="7" t="inlineStr">
        <is>
          <t>vehicle_maintenance.workshop_name</t>
        </is>
      </c>
      <c r="L32" s="7" t="inlineStr"/>
      <c r="M32" s="22" t="inlineStr"/>
      <c r="N32" s="22" t="inlineStr"/>
    </row>
    <row r="33" ht="15" customHeight="1">
      <c r="A33" s="32" t="inlineStr">
        <is>
          <t>txtInvoiceRef</t>
        </is>
      </c>
      <c r="B33" s="21" t="inlineStr">
        <is>
          <t>txt</t>
        </is>
      </c>
      <c r="C33" s="21" t="inlineStr">
        <is>
          <t>frMaintenance</t>
        </is>
      </c>
      <c r="D33" s="21" t="inlineStr">
        <is>
          <t>Invoice Ref #</t>
        </is>
      </c>
      <c r="E33" s="21" t="inlineStr">
        <is>
          <t>رقم الفاتورة</t>
        </is>
      </c>
      <c r="F33" s="21" t="inlineStr">
        <is>
          <t>User</t>
        </is>
      </c>
      <c r="G33" s="21" t="inlineStr">
        <is>
          <t>—</t>
        </is>
      </c>
      <c r="H33" s="21" t="inlineStr">
        <is>
          <t>Free text</t>
        </is>
      </c>
      <c r="I33" s="21" t="inlineStr">
        <is>
          <t>N</t>
        </is>
      </c>
      <c r="J33" s="21" t="inlineStr">
        <is>
          <t>N</t>
        </is>
      </c>
      <c r="K33" s="21" t="inlineStr">
        <is>
          <t>vehicle_maintenance.invoice_ref</t>
        </is>
      </c>
      <c r="L33" s="21" t="inlineStr"/>
      <c r="M33" s="22" t="inlineStr"/>
      <c r="N33" s="22" t="inlineStr"/>
    </row>
  </sheetData>
  <mergeCells count="5">
    <mergeCell ref="A4:N4"/>
    <mergeCell ref="A2:N2"/>
    <mergeCell ref="A25:N25"/>
    <mergeCell ref="A19:N19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frmCustomers  —  Customer Master (Travel Entities)  |  App → Travel</t>
        </is>
      </c>
    </row>
    <row r="2">
      <c r="A2" s="17" t="inlineStr">
        <is>
          <t>Yellow columns = your corrections.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31" t="inlineStr">
        <is>
          <t xml:space="preserve">  ▸  frCustomerForm  —  Add / Edit Customer (inline form — Travel entities only)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txtNameEn</t>
        </is>
      </c>
      <c r="B5" s="21" t="inlineStr">
        <is>
          <t>txt</t>
        </is>
      </c>
      <c r="C5" s="21" t="inlineStr">
        <is>
          <t>frCustomerForm</t>
        </is>
      </c>
      <c r="D5" s="21" t="inlineStr">
        <is>
          <t>Name (English) *</t>
        </is>
      </c>
      <c r="E5" s="21" t="inlineStr">
        <is>
          <t>الاسم (إنجليزي)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Free text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name_en</t>
        </is>
      </c>
      <c r="L5" s="21" t="inlineStr"/>
      <c r="M5" s="22" t="inlineStr"/>
      <c r="N5" s="22" t="inlineStr"/>
    </row>
    <row r="6" ht="15" customHeight="1">
      <c r="A6" s="32" t="inlineStr">
        <is>
          <t>txtNameAr</t>
        </is>
      </c>
      <c r="B6" s="7" t="inlineStr">
        <is>
          <t>txt</t>
        </is>
      </c>
      <c r="C6" s="7" t="inlineStr">
        <is>
          <t>frCustomerForm</t>
        </is>
      </c>
      <c r="D6" s="7" t="inlineStr">
        <is>
          <t>Name (Arabic)</t>
        </is>
      </c>
      <c r="E6" s="7" t="inlineStr">
        <is>
          <t>الاسم (عربي)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Arabic script</t>
        </is>
      </c>
      <c r="I6" s="7" t="inlineStr">
        <is>
          <t>N</t>
        </is>
      </c>
      <c r="J6" s="7" t="inlineStr">
        <is>
          <t>N</t>
        </is>
      </c>
      <c r="K6" s="7" t="inlineStr">
        <is>
          <t>name_ar</t>
        </is>
      </c>
      <c r="L6" s="7" t="inlineStr"/>
      <c r="M6" s="22" t="inlineStr"/>
      <c r="N6" s="22" t="inlineStr"/>
    </row>
    <row r="7" ht="15" customHeight="1">
      <c r="A7" s="32" t="inlineStr">
        <is>
          <t>txtPhone</t>
        </is>
      </c>
      <c r="B7" s="21" t="inlineStr">
        <is>
          <t>txt</t>
        </is>
      </c>
      <c r="C7" s="21" t="inlineStr">
        <is>
          <t>frCustomerForm</t>
        </is>
      </c>
      <c r="D7" s="21" t="inlineStr">
        <is>
          <t>Phone</t>
        </is>
      </c>
      <c r="E7" s="21" t="inlineStr">
        <is>
          <t>الهاتف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Phone number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phone</t>
        </is>
      </c>
      <c r="L7" s="21" t="inlineStr"/>
      <c r="M7" s="22" t="inlineStr"/>
      <c r="N7" s="22" t="inlineStr"/>
    </row>
    <row r="8" ht="15" customHeight="1">
      <c r="A8" s="32" t="inlineStr">
        <is>
          <t>txtEmail</t>
        </is>
      </c>
      <c r="B8" s="7" t="inlineStr">
        <is>
          <t>txt</t>
        </is>
      </c>
      <c r="C8" s="7" t="inlineStr">
        <is>
          <t>frCustomerForm</t>
        </is>
      </c>
      <c r="D8" s="7" t="inlineStr">
        <is>
          <t>Email</t>
        </is>
      </c>
      <c r="E8" s="7" t="inlineStr">
        <is>
          <t>البريد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Valid email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email</t>
        </is>
      </c>
      <c r="L8" s="7" t="inlineStr"/>
      <c r="M8" s="22" t="inlineStr"/>
      <c r="N8" s="22" t="inlineStr"/>
    </row>
    <row r="9" ht="15" customHeight="1">
      <c r="A9" s="32" t="inlineStr">
        <is>
          <t>txtAddress</t>
        </is>
      </c>
      <c r="B9" s="21" t="inlineStr">
        <is>
          <t>txt</t>
        </is>
      </c>
      <c r="C9" s="21" t="inlineStr">
        <is>
          <t>frCustomerForm</t>
        </is>
      </c>
      <c r="D9" s="21" t="inlineStr">
        <is>
          <t>Address</t>
        </is>
      </c>
      <c r="E9" s="21" t="inlineStr">
        <is>
          <t>العنوان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Free text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address</t>
        </is>
      </c>
      <c r="L9" s="21" t="inlineStr"/>
      <c r="M9" s="22" t="inlineStr"/>
      <c r="N9" s="22" t="inlineStr"/>
    </row>
    <row r="10" ht="15" customHeight="1">
      <c r="A10" s="32" t="inlineStr">
        <is>
          <t>cboPaymentType</t>
        </is>
      </c>
      <c r="B10" s="7" t="inlineStr">
        <is>
          <t>cbo</t>
        </is>
      </c>
      <c r="C10" s="7" t="inlineStr">
        <is>
          <t>frCustomerForm</t>
        </is>
      </c>
      <c r="D10" s="7" t="inlineStr">
        <is>
          <t>Payment Type</t>
        </is>
      </c>
      <c r="E10" s="7" t="inlineStr">
        <is>
          <t>نوع الدفع</t>
        </is>
      </c>
      <c r="F10" s="7" t="inlineStr">
        <is>
          <t>Hardcoded</t>
        </is>
      </c>
      <c r="G10" s="7" t="inlineStr">
        <is>
          <t>—</t>
        </is>
      </c>
      <c r="H10" s="7" t="inlineStr">
        <is>
          <t>CREDIT|CASH|CORPORATE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payment_type</t>
        </is>
      </c>
      <c r="L10" s="7" t="inlineStr"/>
      <c r="M10" s="22" t="inlineStr"/>
      <c r="N10" s="22" t="inlineStr"/>
    </row>
    <row r="11" ht="15" customHeight="1">
      <c r="A11" s="32" t="inlineStr">
        <is>
          <t>txtCreditLimit</t>
        </is>
      </c>
      <c r="B11" s="21" t="inlineStr">
        <is>
          <t>txt</t>
        </is>
      </c>
      <c r="C11" s="21" t="inlineStr">
        <is>
          <t>frCustomerForm</t>
        </is>
      </c>
      <c r="D11" s="21" t="inlineStr">
        <is>
          <t>Credit Limit (SAR)</t>
        </is>
      </c>
      <c r="E11" s="21" t="inlineStr">
        <is>
          <t>حد الائتمان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#,##0.00 | Only for CREDIT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credit_limit</t>
        </is>
      </c>
      <c r="L11" s="21" t="inlineStr"/>
      <c r="M11" s="22" t="inlineStr"/>
      <c r="N11" s="22" t="inlineStr"/>
    </row>
    <row r="12" ht="15" customHeight="1">
      <c r="A12" s="32" t="inlineStr">
        <is>
          <t>txtAccountNo</t>
        </is>
      </c>
      <c r="B12" s="7" t="inlineStr">
        <is>
          <t>txt</t>
        </is>
      </c>
      <c r="C12" s="7" t="inlineStr">
        <is>
          <t>frCustomerForm</t>
        </is>
      </c>
      <c r="D12" s="7" t="inlineStr">
        <is>
          <t>Account #</t>
        </is>
      </c>
      <c r="E12" s="7" t="inlineStr">
        <is>
          <t>رقم الحساب</t>
        </is>
      </c>
      <c r="F12" s="7" t="inlineStr">
        <is>
          <t>User / Auto</t>
        </is>
      </c>
      <c r="G12" s="7" t="inlineStr">
        <is>
          <t>—</t>
        </is>
      </c>
      <c r="H12" s="7" t="inlineStr">
        <is>
          <t>Auto-generated</t>
        </is>
      </c>
      <c r="I12" s="7" t="inlineStr">
        <is>
          <t>N</t>
        </is>
      </c>
      <c r="J12" s="7" t="inlineStr">
        <is>
          <t>Y</t>
        </is>
      </c>
      <c r="K12" s="7" t="inlineStr">
        <is>
          <t>account_no</t>
        </is>
      </c>
      <c r="L12" s="7" t="inlineStr"/>
      <c r="M12" s="22" t="inlineStr"/>
      <c r="N12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3" t="inlineStr">
        <is>
          <t>frmLOI  —  Letter of Intent Register  |  App → Operations  (ACCSYS only)</t>
        </is>
      </c>
    </row>
    <row r="2">
      <c r="A2" s="17" t="inlineStr">
        <is>
          <t>Yellow columns = your corrections.</t>
        </is>
      </c>
    </row>
    <row r="3" ht="32" customHeight="1">
      <c r="A3" s="34" t="inlineStr">
        <is>
          <t>Control Name (VBA)</t>
        </is>
      </c>
      <c r="B3" s="34" t="inlineStr">
        <is>
          <t>Type</t>
        </is>
      </c>
      <c r="C3" s="34" t="inlineStr">
        <is>
          <t>Frame / Section</t>
        </is>
      </c>
      <c r="D3" s="34" t="inlineStr">
        <is>
          <t>Label — English</t>
        </is>
      </c>
      <c r="E3" s="34" t="inlineStr">
        <is>
          <t>Label — Arabic</t>
        </is>
      </c>
      <c r="F3" s="34" t="inlineStr">
        <is>
          <t>Data Source / Table</t>
        </is>
      </c>
      <c r="G3" s="34" t="inlineStr">
        <is>
          <t>Depends On</t>
        </is>
      </c>
      <c r="H3" s="34" t="inlineStr">
        <is>
          <t>Format / Validation</t>
        </is>
      </c>
      <c r="I3" s="34" t="inlineStr">
        <is>
          <t>Required</t>
        </is>
      </c>
      <c r="J3" s="34" t="inlineStr">
        <is>
          <t>Read-Only</t>
        </is>
      </c>
      <c r="K3" s="34" t="inlineStr">
        <is>
          <t>DB Column (current)</t>
        </is>
      </c>
      <c r="L3" s="34" t="inlineStr">
        <is>
          <t>Business Rules / Notes</t>
        </is>
      </c>
      <c r="M3" s="34" t="inlineStr">
        <is>
          <t>✏ Your Correction</t>
        </is>
      </c>
      <c r="N3" s="34" t="inlineStr">
        <is>
          <t>✏ New DB Column</t>
        </is>
      </c>
    </row>
    <row r="4" ht="17" customHeight="1">
      <c r="A4" s="31" t="inlineStr">
        <is>
          <t xml:space="preserve">  ▸  frLOIForm  —  Add / Edit LOI 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txtLOINumber</t>
        </is>
      </c>
      <c r="B5" s="21" t="inlineStr">
        <is>
          <t>txt</t>
        </is>
      </c>
      <c r="C5" s="21" t="inlineStr">
        <is>
          <t>frLOIForm</t>
        </is>
      </c>
      <c r="D5" s="21" t="inlineStr">
        <is>
          <t>LOI # *</t>
        </is>
      </c>
      <c r="E5" s="21" t="inlineStr">
        <is>
          <t>رقم خطاب النية</t>
        </is>
      </c>
      <c r="F5" s="21" t="inlineStr">
        <is>
          <t>Auto-generated</t>
        </is>
      </c>
      <c r="G5" s="21" t="inlineStr">
        <is>
          <t>—</t>
        </is>
      </c>
      <c r="H5" s="21" t="inlineStr">
        <is>
          <t>LOI-YYMM-NNN format</t>
        </is>
      </c>
      <c r="I5" s="21" t="inlineStr">
        <is>
          <t>Y</t>
        </is>
      </c>
      <c r="J5" s="21" t="inlineStr">
        <is>
          <t>Y</t>
        </is>
      </c>
      <c r="K5" s="21" t="inlineStr">
        <is>
          <t>loi_number</t>
        </is>
      </c>
      <c r="L5" s="21" t="inlineStr">
        <is>
          <t>Auto: LOI-2506-001</t>
        </is>
      </c>
      <c r="M5" s="22" t="inlineStr"/>
      <c r="N5" s="22" t="inlineStr"/>
    </row>
    <row r="6" ht="15" customHeight="1">
      <c r="A6" s="32" t="inlineStr">
        <is>
          <t>cboClientType</t>
        </is>
      </c>
      <c r="B6" s="7" t="inlineStr">
        <is>
          <t>cbo</t>
        </is>
      </c>
      <c r="C6" s="7" t="inlineStr">
        <is>
          <t>frLOIForm</t>
        </is>
      </c>
      <c r="D6" s="7" t="inlineStr">
        <is>
          <t>Client Type</t>
        </is>
      </c>
      <c r="E6" s="7" t="inlineStr">
        <is>
          <t>نوع العميل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CONTRACTOR|CUSTOMER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client_type</t>
        </is>
      </c>
      <c r="L6" s="7" t="inlineStr">
        <is>
          <t>Determines cboContractor vs cboCustomer.</t>
        </is>
      </c>
      <c r="M6" s="22" t="inlineStr"/>
      <c r="N6" s="22" t="inlineStr"/>
    </row>
    <row r="7" ht="15" customHeight="1">
      <c r="A7" s="32" t="inlineStr">
        <is>
          <t>cboContractor</t>
        </is>
      </c>
      <c r="B7" s="21" t="inlineStr">
        <is>
          <t>cbo</t>
        </is>
      </c>
      <c r="C7" s="21" t="inlineStr">
        <is>
          <t>frLOIForm</t>
        </is>
      </c>
      <c r="D7" s="21" t="inlineStr">
        <is>
          <t>Client (Contractor)</t>
        </is>
      </c>
      <c r="E7" s="21" t="inlineStr">
        <is>
          <t>المقاول</t>
        </is>
      </c>
      <c r="F7" s="21" t="inlineStr">
        <is>
          <t>contractors WHERE entity_id</t>
        </is>
      </c>
      <c r="G7" s="21" t="inlineStr">
        <is>
          <t>cboClientType=CONTRACTOR</t>
        </is>
      </c>
      <c r="H7" s="21" t="inlineStr">
        <is>
          <t>contractor_name | UUID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contractor_id</t>
        </is>
      </c>
      <c r="L7" s="21" t="inlineStr">
        <is>
          <t>Visible when client_type=CONTRACTOR.</t>
        </is>
      </c>
      <c r="M7" s="22" t="inlineStr"/>
      <c r="N7" s="22" t="inlineStr"/>
    </row>
    <row r="8" ht="15" customHeight="1">
      <c r="A8" s="32" t="inlineStr">
        <is>
          <t>cboCustomer</t>
        </is>
      </c>
      <c r="B8" s="7" t="inlineStr">
        <is>
          <t>cbo</t>
        </is>
      </c>
      <c r="C8" s="7" t="inlineStr">
        <is>
          <t>frLOIForm</t>
        </is>
      </c>
      <c r="D8" s="7" t="inlineStr">
        <is>
          <t>Client (Customer)</t>
        </is>
      </c>
      <c r="E8" s="7" t="inlineStr">
        <is>
          <t>العميل</t>
        </is>
      </c>
      <c r="F8" s="7" t="inlineStr">
        <is>
          <t>customers WHERE entity_id</t>
        </is>
      </c>
      <c r="G8" s="7" t="inlineStr">
        <is>
          <t>cboClientType=CUSTOMER</t>
        </is>
      </c>
      <c r="H8" s="7" t="inlineStr">
        <is>
          <t>name_en | UUID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customer_id</t>
        </is>
      </c>
      <c r="L8" s="7" t="inlineStr">
        <is>
          <t>Visible when client_type=CUSTOMER.</t>
        </is>
      </c>
      <c r="M8" s="22" t="inlineStr"/>
      <c r="N8" s="22" t="inlineStr"/>
    </row>
    <row r="9" ht="15" customHeight="1">
      <c r="A9" s="32" t="inlineStr">
        <is>
          <t>txtClientName</t>
        </is>
      </c>
      <c r="B9" s="21" t="inlineStr">
        <is>
          <t>txt</t>
        </is>
      </c>
      <c r="C9" s="21" t="inlineStr">
        <is>
          <t>frLOIForm</t>
        </is>
      </c>
      <c r="D9" s="21" t="inlineStr">
        <is>
          <t>Client Name (auto-fill)</t>
        </is>
      </c>
      <c r="E9" s="21" t="inlineStr">
        <is>
          <t>اسم العميل</t>
        </is>
      </c>
      <c r="F9" s="21" t="inlineStr">
        <is>
          <t>Auto from cboContractor / cboCustomer</t>
        </is>
      </c>
      <c r="G9" s="21" t="inlineStr">
        <is>
          <t>—</t>
        </is>
      </c>
      <c r="H9" s="21" t="inlineStr">
        <is>
          <t>Read-only | editable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client_name</t>
        </is>
      </c>
      <c r="L9" s="21" t="inlineStr">
        <is>
          <t>Auto-filled on party selection.</t>
        </is>
      </c>
      <c r="M9" s="22" t="inlineStr"/>
      <c r="N9" s="22" t="inlineStr"/>
    </row>
    <row r="10" ht="15" customHeight="1">
      <c r="A10" s="32" t="inlineStr">
        <is>
          <t>cboServiceUnit</t>
        </is>
      </c>
      <c r="B10" s="7" t="inlineStr">
        <is>
          <t>cbo</t>
        </is>
      </c>
      <c r="C10" s="7" t="inlineStr">
        <is>
          <t>frLOIForm</t>
        </is>
      </c>
      <c r="D10" s="7" t="inlineStr">
        <is>
          <t>Service Unit</t>
        </is>
      </c>
      <c r="E10" s="7" t="inlineStr">
        <is>
          <t>وحدة الخدمة</t>
        </is>
      </c>
      <c r="F10" s="7" t="inlineStr">
        <is>
          <t>Hardcoded</t>
        </is>
      </c>
      <c r="G10" s="7" t="inlineStr">
        <is>
          <t>—</t>
        </is>
      </c>
      <c r="H10" s="7" t="inlineStr">
        <is>
          <t>NISU|TISU|CISU|ITSU|ALL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service_unit</t>
        </is>
      </c>
      <c r="L10" s="7" t="inlineStr"/>
      <c r="M10" s="22" t="inlineStr"/>
      <c r="N10" s="22" t="inlineStr"/>
    </row>
    <row r="11" ht="15" customHeight="1">
      <c r="A11" s="32" t="inlineStr">
        <is>
          <t>txtWorkType</t>
        </is>
      </c>
      <c r="B11" s="21" t="inlineStr">
        <is>
          <t>txt</t>
        </is>
      </c>
      <c r="C11" s="21" t="inlineStr">
        <is>
          <t>frLOIForm</t>
        </is>
      </c>
      <c r="D11" s="21" t="inlineStr">
        <is>
          <t>Work Type</t>
        </is>
      </c>
      <c r="E11" s="21" t="inlineStr">
        <is>
          <t>نوع العمل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Free text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work_type</t>
        </is>
      </c>
      <c r="L11" s="21" t="inlineStr"/>
      <c r="M11" s="22" t="inlineStr"/>
      <c r="N11" s="22" t="inlineStr"/>
    </row>
    <row r="12" ht="15" customHeight="1">
      <c r="A12" s="32" t="inlineStr">
        <is>
          <t>txtScopeDescription</t>
        </is>
      </c>
      <c r="B12" s="7" t="inlineStr">
        <is>
          <t>txt</t>
        </is>
      </c>
      <c r="C12" s="7" t="inlineStr">
        <is>
          <t>frLOIForm</t>
        </is>
      </c>
      <c r="D12" s="7" t="inlineStr">
        <is>
          <t>Scope Description</t>
        </is>
      </c>
      <c r="E12" s="7" t="inlineStr">
        <is>
          <t>وصف النطاق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 1000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scope_description</t>
        </is>
      </c>
      <c r="L12" s="7" t="inlineStr"/>
      <c r="M12" s="22" t="inlineStr"/>
      <c r="N12" s="22" t="inlineStr"/>
    </row>
    <row r="13" ht="15" customHeight="1">
      <c r="A13" s="32" t="inlineStr">
        <is>
          <t>txtEstimatedValue</t>
        </is>
      </c>
      <c r="B13" s="21" t="inlineStr">
        <is>
          <t>txt</t>
        </is>
      </c>
      <c r="C13" s="21" t="inlineStr">
        <is>
          <t>frLOIForm</t>
        </is>
      </c>
      <c r="D13" s="21" t="inlineStr">
        <is>
          <t>Estimated Value (SAR)</t>
        </is>
      </c>
      <c r="E13" s="21" t="inlineStr">
        <is>
          <t>القيمة التقديرية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#,##0.00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estimated_value</t>
        </is>
      </c>
      <c r="L13" s="21" t="inlineStr"/>
      <c r="M13" s="22" t="inlineStr"/>
      <c r="N13" s="22" t="inlineStr"/>
    </row>
    <row r="14" ht="15" customHeight="1">
      <c r="A14" s="32" t="inlineStr">
        <is>
          <t>txtReceivedDate</t>
        </is>
      </c>
      <c r="B14" s="7" t="inlineStr">
        <is>
          <t>txt</t>
        </is>
      </c>
      <c r="C14" s="7" t="inlineStr">
        <is>
          <t>frLOIForm</t>
        </is>
      </c>
      <c r="D14" s="7" t="inlineStr">
        <is>
          <t>Received Date *</t>
        </is>
      </c>
      <c r="E14" s="7" t="inlineStr">
        <is>
          <t>تاريخ الاستلام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DD/MM/YYYY | Default today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received_date</t>
        </is>
      </c>
      <c r="L14" s="7" t="inlineStr"/>
      <c r="M14" s="22" t="inlineStr"/>
      <c r="N14" s="22" t="inlineStr"/>
    </row>
    <row r="15" ht="15" customHeight="1">
      <c r="A15" s="32" t="inlineStr">
        <is>
          <t>txtResponseDeadline</t>
        </is>
      </c>
      <c r="B15" s="21" t="inlineStr">
        <is>
          <t>txt</t>
        </is>
      </c>
      <c r="C15" s="21" t="inlineStr">
        <is>
          <t>frLOIForm</t>
        </is>
      </c>
      <c r="D15" s="21" t="inlineStr">
        <is>
          <t>Response Deadline</t>
        </is>
      </c>
      <c r="E15" s="21" t="inlineStr">
        <is>
          <t>موعد الرد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DD/MM/YYYY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response_deadline</t>
        </is>
      </c>
      <c r="L15" s="21" t="inlineStr"/>
      <c r="M15" s="22" t="inlineStr"/>
      <c r="N15" s="22" t="inlineStr"/>
    </row>
    <row r="16" ht="15" customHeight="1">
      <c r="A16" s="32" t="inlineStr">
        <is>
          <t>cboStatus</t>
        </is>
      </c>
      <c r="B16" s="7" t="inlineStr">
        <is>
          <t>cbo</t>
        </is>
      </c>
      <c r="C16" s="7" t="inlineStr">
        <is>
          <t>frLOIForm</t>
        </is>
      </c>
      <c r="D16" s="7" t="inlineStr">
        <is>
          <t>Status</t>
        </is>
      </c>
      <c r="E16" s="7" t="inlineStr">
        <is>
          <t>الحالة</t>
        </is>
      </c>
      <c r="F16" s="7" t="inlineStr">
        <is>
          <t>Hardcoded</t>
        </is>
      </c>
      <c r="G16" s="7" t="inlineStr">
        <is>
          <t>—</t>
        </is>
      </c>
      <c r="H16" s="7" t="inlineStr">
        <is>
          <t>RECEIVED|RESPONDED|CONVERTED|REJECTED|EXPIRED</t>
        </is>
      </c>
      <c r="I16" s="7" t="inlineStr">
        <is>
          <t>Y</t>
        </is>
      </c>
      <c r="J16" s="7" t="inlineStr">
        <is>
          <t>N</t>
        </is>
      </c>
      <c r="K16" s="7" t="inlineStr">
        <is>
          <t>status</t>
        </is>
      </c>
      <c r="L16" s="7" t="inlineStr">
        <is>
          <t>CONVERTED → triggers project creation.</t>
        </is>
      </c>
      <c r="M16" s="22" t="inlineStr"/>
      <c r="N16" s="22" t="inlineStr"/>
    </row>
    <row r="17" ht="15" customHeight="1">
      <c r="A17" s="32" t="inlineStr">
        <is>
          <t>txtInternalRef</t>
        </is>
      </c>
      <c r="B17" s="21" t="inlineStr">
        <is>
          <t>txt</t>
        </is>
      </c>
      <c r="C17" s="21" t="inlineStr">
        <is>
          <t>frLOIForm</t>
        </is>
      </c>
      <c r="D17" s="21" t="inlineStr">
        <is>
          <t>Internal Ref</t>
        </is>
      </c>
      <c r="E17" s="21" t="inlineStr">
        <is>
          <t>المرجع الداخلي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Free text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internal_ref</t>
        </is>
      </c>
      <c r="L17" s="21" t="inlineStr"/>
      <c r="M17" s="22" t="inlineStr"/>
      <c r="N17" s="22" t="inlineStr"/>
    </row>
    <row r="18" ht="15" customHeight="1">
      <c r="A18" s="32" t="inlineStr">
        <is>
          <t>txtNotes</t>
        </is>
      </c>
      <c r="B18" s="7" t="inlineStr">
        <is>
          <t>txt</t>
        </is>
      </c>
      <c r="C18" s="7" t="inlineStr">
        <is>
          <t>frLOIForm</t>
        </is>
      </c>
      <c r="D18" s="7" t="inlineStr">
        <is>
          <t>Notes</t>
        </is>
      </c>
      <c r="E18" s="7" t="inlineStr">
        <is>
          <t>ملاحظات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Free text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notes</t>
        </is>
      </c>
      <c r="L18" s="7" t="inlineStr"/>
      <c r="M18" s="22" t="inlineStr"/>
      <c r="N18" s="22" t="inlineStr"/>
    </row>
    <row r="19" ht="15" customHeight="1">
      <c r="A19" s="32" t="inlineStr">
        <is>
          <t>cmdConvertToProject</t>
        </is>
      </c>
      <c r="B19" s="21" t="inlineStr">
        <is>
          <t>cmd</t>
        </is>
      </c>
      <c r="C19" s="21" t="inlineStr">
        <is>
          <t>frLOIForm</t>
        </is>
      </c>
      <c r="D19" s="21" t="inlineStr">
        <is>
          <t>Convert to Project</t>
        </is>
      </c>
      <c r="E19" s="21" t="inlineStr">
        <is>
          <t>تحويل لمشروع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Button — only when status=RESPONDED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>
        <is>
          <t>Creates project from LOI data.</t>
        </is>
      </c>
      <c r="M19" s="22" t="inlineStr"/>
      <c r="N19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3" t="inlineStr">
        <is>
          <t>frmPO_Admin  —  Purchase Orders (Admin Page)  |  App → Operations</t>
        </is>
      </c>
    </row>
    <row r="2">
      <c r="A2" s="17" t="inlineStr">
        <is>
          <t>Yellow columns = your corrections.</t>
        </is>
      </c>
    </row>
    <row r="3" ht="32" customHeight="1">
      <c r="A3" s="34" t="inlineStr">
        <is>
          <t>Control Name (VBA)</t>
        </is>
      </c>
      <c r="B3" s="34" t="inlineStr">
        <is>
          <t>Type</t>
        </is>
      </c>
      <c r="C3" s="34" t="inlineStr">
        <is>
          <t>Frame / Section</t>
        </is>
      </c>
      <c r="D3" s="34" t="inlineStr">
        <is>
          <t>Label — English</t>
        </is>
      </c>
      <c r="E3" s="34" t="inlineStr">
        <is>
          <t>Label — Arabic</t>
        </is>
      </c>
      <c r="F3" s="34" t="inlineStr">
        <is>
          <t>Data Source / Table</t>
        </is>
      </c>
      <c r="G3" s="34" t="inlineStr">
        <is>
          <t>Depends On</t>
        </is>
      </c>
      <c r="H3" s="34" t="inlineStr">
        <is>
          <t>Format / Validation</t>
        </is>
      </c>
      <c r="I3" s="34" t="inlineStr">
        <is>
          <t>Required</t>
        </is>
      </c>
      <c r="J3" s="34" t="inlineStr">
        <is>
          <t>Read-Only</t>
        </is>
      </c>
      <c r="K3" s="34" t="inlineStr">
        <is>
          <t>DB Column (current)</t>
        </is>
      </c>
      <c r="L3" s="34" t="inlineStr">
        <is>
          <t>Business Rules / Notes</t>
        </is>
      </c>
      <c r="M3" s="34" t="inlineStr">
        <is>
          <t>✏ Your Correction</t>
        </is>
      </c>
      <c r="N3" s="34" t="inlineStr">
        <is>
          <t>✏ New DB Column</t>
        </is>
      </c>
    </row>
    <row r="4" ht="17" customHeight="1">
      <c r="A4" s="31" t="inlineStr">
        <is>
          <t xml:space="preserve">  ▸  frPOFilters  —  Filters / List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cboFilterStatus</t>
        </is>
      </c>
      <c r="B5" s="21" t="inlineStr">
        <is>
          <t>cbo</t>
        </is>
      </c>
      <c r="C5" s="21" t="inlineStr">
        <is>
          <t>frPOFilters</t>
        </is>
      </c>
      <c r="D5" s="21" t="inlineStr">
        <is>
          <t>Status Filter</t>
        </is>
      </c>
      <c r="E5" s="21" t="inlineStr">
        <is>
          <t>تصفية الحالة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ALL|DRAFT|APPROVED|ACTIVE|CLOSED|REJECTED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/>
      <c r="M5" s="22" t="inlineStr"/>
      <c r="N5" s="22" t="inlineStr"/>
    </row>
    <row r="6" ht="17" customHeight="1">
      <c r="A6" s="31" t="inlineStr">
        <is>
          <t xml:space="preserve">  ▸  frPOForm  —  Add / Edit PO  (modal dialog)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</row>
    <row r="7" ht="15" customHeight="1">
      <c r="A7" s="32" t="inlineStr">
        <is>
          <t>cboDept</t>
        </is>
      </c>
      <c r="B7" s="21" t="inlineStr">
        <is>
          <t>cbo</t>
        </is>
      </c>
      <c r="C7" s="21" t="inlineStr">
        <is>
          <t>frPOForm</t>
        </is>
      </c>
      <c r="D7" s="21" t="inlineStr">
        <is>
          <t>Department</t>
        </is>
      </c>
      <c r="E7" s="21" t="inlineStr">
        <is>
          <t>القسم</t>
        </is>
      </c>
      <c r="F7" s="21" t="inlineStr">
        <is>
          <t>departments WHERE entity_id</t>
        </is>
      </c>
      <c r="G7" s="21" t="inlineStr">
        <is>
          <t>—</t>
        </is>
      </c>
      <c r="H7" s="21" t="inlineStr">
        <is>
          <t>dept_code | UUID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department (text — add dept_id FK)</t>
        </is>
      </c>
      <c r="L7" s="21" t="inlineStr"/>
      <c r="M7" s="22" t="inlineStr"/>
      <c r="N7" s="22" t="inlineStr"/>
    </row>
    <row r="8" ht="15" customHeight="1">
      <c r="A8" s="32" t="inlineStr">
        <is>
          <t>cboContractor</t>
        </is>
      </c>
      <c r="B8" s="7" t="inlineStr">
        <is>
          <t>cbo</t>
        </is>
      </c>
      <c r="C8" s="7" t="inlineStr">
        <is>
          <t>frPOForm</t>
        </is>
      </c>
      <c r="D8" s="7" t="inlineStr">
        <is>
          <t>Contractor / Supplier</t>
        </is>
      </c>
      <c r="E8" s="7" t="inlineStr">
        <is>
          <t>المقاول / المورد</t>
        </is>
      </c>
      <c r="F8" s="7" t="inlineStr">
        <is>
          <t>contractors WHERE entity_id</t>
        </is>
      </c>
      <c r="G8" s="7" t="inlineStr">
        <is>
          <t>—</t>
        </is>
      </c>
      <c r="H8" s="7" t="inlineStr">
        <is>
          <t>contractor_name | UUID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contractor_id</t>
        </is>
      </c>
      <c r="L8" s="7" t="inlineStr"/>
      <c r="M8" s="22" t="inlineStr"/>
      <c r="N8" s="22" t="inlineStr"/>
    </row>
    <row r="9" ht="15" customHeight="1">
      <c r="A9" s="32" t="inlineStr">
        <is>
          <t>cboCustomer</t>
        </is>
      </c>
      <c r="B9" s="21" t="inlineStr">
        <is>
          <t>cbo</t>
        </is>
      </c>
      <c r="C9" s="21" t="inlineStr">
        <is>
          <t>frPOForm</t>
        </is>
      </c>
      <c r="D9" s="21" t="inlineStr">
        <is>
          <t>Customer (if applicable)</t>
        </is>
      </c>
      <c r="E9" s="21" t="inlineStr">
        <is>
          <t>العميل</t>
        </is>
      </c>
      <c r="F9" s="21" t="inlineStr">
        <is>
          <t>customers WHERE entity_id</t>
        </is>
      </c>
      <c r="G9" s="21" t="inlineStr">
        <is>
          <t>—</t>
        </is>
      </c>
      <c r="H9" s="21" t="inlineStr">
        <is>
          <t>name_en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customer_id</t>
        </is>
      </c>
      <c r="L9" s="21" t="inlineStr">
        <is>
          <t>Optional — some POs are for customers.</t>
        </is>
      </c>
      <c r="M9" s="22" t="inlineStr"/>
      <c r="N9" s="22" t="inlineStr"/>
    </row>
    <row r="10" ht="15" customHeight="1">
      <c r="A10" s="32" t="inlineStr">
        <is>
          <t>txtConPONo</t>
        </is>
      </c>
      <c r="B10" s="7" t="inlineStr">
        <is>
          <t>txt</t>
        </is>
      </c>
      <c r="C10" s="7" t="inlineStr">
        <is>
          <t>frPOForm</t>
        </is>
      </c>
      <c r="D10" s="7" t="inlineStr">
        <is>
          <t>Contractor PO #</t>
        </is>
      </c>
      <c r="E10" s="7" t="inlineStr">
        <is>
          <t>رقم PO المقاول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contractor_po_number</t>
        </is>
      </c>
      <c r="L10" s="7" t="inlineStr">
        <is>
          <t>Contractor's own reference number.</t>
        </is>
      </c>
      <c r="M10" s="22" t="inlineStr"/>
      <c r="N10" s="22" t="inlineStr"/>
    </row>
    <row r="11" ht="15" customHeight="1">
      <c r="A11" s="32" t="inlineStr">
        <is>
          <t>txtReqDate</t>
        </is>
      </c>
      <c r="B11" s="21" t="inlineStr">
        <is>
          <t>txt</t>
        </is>
      </c>
      <c r="C11" s="21" t="inlineStr">
        <is>
          <t>frPOForm</t>
        </is>
      </c>
      <c r="D11" s="21" t="inlineStr">
        <is>
          <t>Request Date *</t>
        </is>
      </c>
      <c r="E11" s="21" t="inlineStr">
        <is>
          <t>تاريخ الطلب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DD/MM/YYYY | Default today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request_date</t>
        </is>
      </c>
      <c r="L11" s="21" t="inlineStr"/>
      <c r="M11" s="22" t="inlineStr"/>
      <c r="N11" s="22" t="inlineStr"/>
    </row>
    <row r="12" ht="15" customHeight="1">
      <c r="A12" s="32" t="inlineStr">
        <is>
          <t>txtLOIDate</t>
        </is>
      </c>
      <c r="B12" s="7" t="inlineStr">
        <is>
          <t>txt</t>
        </is>
      </c>
      <c r="C12" s="7" t="inlineStr">
        <is>
          <t>frPOForm</t>
        </is>
      </c>
      <c r="D12" s="7" t="inlineStr">
        <is>
          <t>LOI Date</t>
        </is>
      </c>
      <c r="E12" s="7" t="inlineStr">
        <is>
          <t>تاريخ خطاب النية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DD/MM/YYYY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loi_date</t>
        </is>
      </c>
      <c r="L12" s="7" t="inlineStr"/>
      <c r="M12" s="22" t="inlineStr"/>
      <c r="N12" s="22" t="inlineStr"/>
    </row>
    <row r="13" ht="15" customHeight="1">
      <c r="A13" s="32" t="inlineStr">
        <is>
          <t>txtLOIRef</t>
        </is>
      </c>
      <c r="B13" s="21" t="inlineStr">
        <is>
          <t>txt</t>
        </is>
      </c>
      <c r="C13" s="21" t="inlineStr">
        <is>
          <t>frPOForm</t>
        </is>
      </c>
      <c r="D13" s="21" t="inlineStr">
        <is>
          <t>LOI Reference</t>
        </is>
      </c>
      <c r="E13" s="21" t="inlineStr">
        <is>
          <t>مرجع خطاب النية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loi_ref</t>
        </is>
      </c>
      <c r="L13" s="21" t="inlineStr"/>
      <c r="M13" s="22" t="inlineStr"/>
      <c r="N13" s="22" t="inlineStr"/>
    </row>
    <row r="14" ht="15" customHeight="1">
      <c r="A14" s="32" t="inlineStr">
        <is>
          <t>txtNotes</t>
        </is>
      </c>
      <c r="B14" s="7" t="inlineStr">
        <is>
          <t>txt</t>
        </is>
      </c>
      <c r="C14" s="7" t="inlineStr">
        <is>
          <t>frPOForm</t>
        </is>
      </c>
      <c r="D14" s="7" t="inlineStr">
        <is>
          <t>Notes</t>
        </is>
      </c>
      <c r="E14" s="7" t="inlineStr">
        <is>
          <t>ملاحظات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notes</t>
        </is>
      </c>
      <c r="L14" s="7" t="inlineStr"/>
      <c r="M14" s="22" t="inlineStr"/>
      <c r="N14" s="22" t="inlineStr"/>
    </row>
    <row r="15" ht="17" customHeight="1">
      <c r="A15" s="31" t="inlineStr">
        <is>
          <t xml:space="preserve">  ▸  frPOLines  —  PO Lines  (repeating — emptyLine template)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4" t="n"/>
    </row>
    <row r="16" ht="15" customHeight="1">
      <c r="A16" s="32" t="inlineStr">
        <is>
          <t>cboJobType</t>
        </is>
      </c>
      <c r="B16" s="7" t="inlineStr">
        <is>
          <t>cbo</t>
        </is>
      </c>
      <c r="C16" s="7" t="inlineStr">
        <is>
          <t>frPOLines</t>
        </is>
      </c>
      <c r="D16" s="7" t="inlineStr">
        <is>
          <t>Job Type</t>
        </is>
      </c>
      <c r="E16" s="7" t="inlineStr">
        <is>
          <t>نوع العمل</t>
        </is>
      </c>
      <c r="F16" s="7" t="inlineStr">
        <is>
          <t>Hardcoded</t>
        </is>
      </c>
      <c r="G16" s="7" t="inlineStr">
        <is>
          <t>—</t>
        </is>
      </c>
      <c r="H16" s="7" t="inlineStr">
        <is>
          <t>SUPPLY|INSTALL|SUPPLY_AND_INSTALL|SERVICE|CONSULTANCY|OTHER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po_lines.job_type</t>
        </is>
      </c>
      <c r="L16" s="7" t="inlineStr"/>
      <c r="M16" s="22" t="inlineStr"/>
      <c r="N16" s="22" t="inlineStr"/>
    </row>
    <row r="17" ht="15" customHeight="1">
      <c r="A17" s="32" t="inlineStr">
        <is>
          <t>txtDescription</t>
        </is>
      </c>
      <c r="B17" s="21" t="inlineStr">
        <is>
          <t>txt</t>
        </is>
      </c>
      <c r="C17" s="21" t="inlineStr">
        <is>
          <t>frPOLines</t>
        </is>
      </c>
      <c r="D17" s="21" t="inlineStr">
        <is>
          <t>Description *</t>
        </is>
      </c>
      <c r="E17" s="21" t="inlineStr">
        <is>
          <t>الوصف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Free text 300</t>
        </is>
      </c>
      <c r="I17" s="21" t="inlineStr">
        <is>
          <t>Y</t>
        </is>
      </c>
      <c r="J17" s="21" t="inlineStr">
        <is>
          <t>N</t>
        </is>
      </c>
      <c r="K17" s="21" t="inlineStr">
        <is>
          <t>po_lines.description</t>
        </is>
      </c>
      <c r="L17" s="21" t="inlineStr"/>
      <c r="M17" s="22" t="inlineStr"/>
      <c r="N17" s="22" t="inlineStr"/>
    </row>
    <row r="18" ht="15" customHeight="1">
      <c r="A18" s="32" t="inlineStr">
        <is>
          <t>txtQuantity</t>
        </is>
      </c>
      <c r="B18" s="7" t="inlineStr">
        <is>
          <t>txt</t>
        </is>
      </c>
      <c r="C18" s="7" t="inlineStr">
        <is>
          <t>frPOLines</t>
        </is>
      </c>
      <c r="D18" s="7" t="inlineStr">
        <is>
          <t>Quantity *</t>
        </is>
      </c>
      <c r="E18" s="7" t="inlineStr">
        <is>
          <t>الكمية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#,##0.00</t>
        </is>
      </c>
      <c r="I18" s="7" t="inlineStr">
        <is>
          <t>Y</t>
        </is>
      </c>
      <c r="J18" s="7" t="inlineStr">
        <is>
          <t>N</t>
        </is>
      </c>
      <c r="K18" s="7" t="inlineStr">
        <is>
          <t>po_lines.quantity</t>
        </is>
      </c>
      <c r="L18" s="7" t="inlineStr"/>
      <c r="M18" s="22" t="inlineStr"/>
      <c r="N18" s="22" t="inlineStr"/>
    </row>
    <row r="19" ht="15" customHeight="1">
      <c r="A19" s="32" t="inlineStr">
        <is>
          <t>txtUnitPrice</t>
        </is>
      </c>
      <c r="B19" s="21" t="inlineStr">
        <is>
          <t>txt</t>
        </is>
      </c>
      <c r="C19" s="21" t="inlineStr">
        <is>
          <t>frPOLines</t>
        </is>
      </c>
      <c r="D19" s="21" t="inlineStr">
        <is>
          <t>Unit Price (SAR) *</t>
        </is>
      </c>
      <c r="E19" s="21" t="inlineStr">
        <is>
          <t>سعر الوحدة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#,##0.00</t>
        </is>
      </c>
      <c r="I19" s="21" t="inlineStr">
        <is>
          <t>Y</t>
        </is>
      </c>
      <c r="J19" s="21" t="inlineStr">
        <is>
          <t>N</t>
        </is>
      </c>
      <c r="K19" s="21" t="inlineStr">
        <is>
          <t>po_lines.unit_price</t>
        </is>
      </c>
      <c r="L19" s="21" t="inlineStr"/>
      <c r="M19" s="22" t="inlineStr"/>
      <c r="N19" s="22" t="inlineStr"/>
    </row>
    <row r="20" ht="15" customHeight="1">
      <c r="A20" s="32" t="inlineStr">
        <is>
          <t>txtLineTotal</t>
        </is>
      </c>
      <c r="B20" s="7" t="inlineStr">
        <is>
          <t>txt</t>
        </is>
      </c>
      <c r="C20" s="7" t="inlineStr">
        <is>
          <t>frPOLines</t>
        </is>
      </c>
      <c r="D20" s="7" t="inlineStr">
        <is>
          <t>Line Total</t>
        </is>
      </c>
      <c r="E20" s="7" t="inlineStr">
        <is>
          <t>إجمالي السطر</t>
        </is>
      </c>
      <c r="F20" s="7">
        <f> Qty × Price</f>
        <v/>
      </c>
      <c r="G20" s="7" t="inlineStr">
        <is>
          <t>—</t>
        </is>
      </c>
      <c r="H20" s="7" t="inlineStr">
        <is>
          <t>SAR #,##0.00 | read-only</t>
        </is>
      </c>
      <c r="I20" s="7" t="inlineStr">
        <is>
          <t>—</t>
        </is>
      </c>
      <c r="J20" s="7" t="inlineStr">
        <is>
          <t>Y</t>
        </is>
      </c>
      <c r="K20" s="7" t="inlineStr">
        <is>
          <t>po_lines.total_price (computed)</t>
        </is>
      </c>
      <c r="L20" s="7" t="inlineStr"/>
      <c r="M20" s="22" t="inlineStr"/>
      <c r="N20" s="22" t="inlineStr"/>
    </row>
    <row r="21" ht="15" customHeight="1">
      <c r="A21" s="32" t="inlineStr">
        <is>
          <t>txtRemarks</t>
        </is>
      </c>
      <c r="B21" s="21" t="inlineStr">
        <is>
          <t>txt</t>
        </is>
      </c>
      <c r="C21" s="21" t="inlineStr">
        <is>
          <t>frPOLines</t>
        </is>
      </c>
      <c r="D21" s="21" t="inlineStr">
        <is>
          <t>Remarks</t>
        </is>
      </c>
      <c r="E21" s="21" t="inlineStr">
        <is>
          <t>ملاحظات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Free text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po_lines.remarks</t>
        </is>
      </c>
      <c r="L21" s="21" t="inlineStr"/>
      <c r="M21" s="22" t="inlineStr"/>
      <c r="N21" s="22" t="inlineStr"/>
    </row>
    <row r="22" ht="15" customHeight="1">
      <c r="A22" s="32" t="inlineStr">
        <is>
          <t>cmdRemoveLine</t>
        </is>
      </c>
      <c r="B22" s="7" t="inlineStr">
        <is>
          <t>cmd</t>
        </is>
      </c>
      <c r="C22" s="7" t="inlineStr">
        <is>
          <t>frPOLines</t>
        </is>
      </c>
      <c r="D22" s="7" t="inlineStr">
        <is>
          <t>✕  Remove</t>
        </is>
      </c>
      <c r="E22" s="7" t="inlineStr"/>
      <c r="F22" s="7" t="inlineStr">
        <is>
          <t>—</t>
        </is>
      </c>
      <c r="G22" s="7" t="inlineStr">
        <is>
          <t>—</t>
        </is>
      </c>
      <c r="H22" s="7" t="inlineStr">
        <is>
          <t>Icon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/>
      <c r="M22" s="22" t="inlineStr"/>
      <c r="N22" s="22" t="inlineStr"/>
    </row>
    <row r="23" ht="17" customHeight="1">
      <c r="A23" s="31" t="inlineStr">
        <is>
          <t xml:space="preserve">  ▸  frPOFooter  —  Footer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4" t="n"/>
    </row>
    <row r="24" ht="15" customHeight="1">
      <c r="A24" s="32" t="inlineStr">
        <is>
          <t>cmdAddLine</t>
        </is>
      </c>
      <c r="B24" s="7" t="inlineStr">
        <is>
          <t>cmd</t>
        </is>
      </c>
      <c r="C24" s="7" t="inlineStr">
        <is>
          <t>frPOFooter</t>
        </is>
      </c>
      <c r="D24" s="7" t="inlineStr">
        <is>
          <t>+ Add Line</t>
        </is>
      </c>
      <c r="E24" s="7" t="inlineStr">
        <is>
          <t>+ إضافة سطر</t>
        </is>
      </c>
      <c r="F24" s="7" t="inlineStr">
        <is>
          <t>—</t>
        </is>
      </c>
      <c r="G24" s="7" t="inlineStr">
        <is>
          <t>—</t>
        </is>
      </c>
      <c r="H24" s="7" t="inlineStr">
        <is>
          <t>Dashed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—</t>
        </is>
      </c>
      <c r="L24" s="7" t="inlineStr"/>
      <c r="M24" s="22" t="inlineStr"/>
      <c r="N24" s="22" t="inlineStr"/>
    </row>
    <row r="25" ht="15" customHeight="1">
      <c r="A25" s="32" t="inlineStr">
        <is>
          <t>txtTotal</t>
        </is>
      </c>
      <c r="B25" s="21" t="inlineStr">
        <is>
          <t>txt</t>
        </is>
      </c>
      <c r="C25" s="21" t="inlineStr">
        <is>
          <t>frPOFooter</t>
        </is>
      </c>
      <c r="D25" s="21" t="inlineStr">
        <is>
          <t>Grand Total (SAR)</t>
        </is>
      </c>
      <c r="E25" s="21" t="inlineStr">
        <is>
          <t>الإجمالي</t>
        </is>
      </c>
      <c r="F25" s="21" t="inlineStr">
        <is>
          <t>SUM lines</t>
        </is>
      </c>
      <c r="G25" s="21" t="inlineStr">
        <is>
          <t>—</t>
        </is>
      </c>
      <c r="H25" s="21" t="inlineStr">
        <is>
          <t>SAR #,##0.00 | read-only</t>
        </is>
      </c>
      <c r="I25" s="21" t="inlineStr">
        <is>
          <t>—</t>
        </is>
      </c>
      <c r="J25" s="21" t="inlineStr">
        <is>
          <t>Y</t>
        </is>
      </c>
      <c r="K25" s="21" t="inlineStr">
        <is>
          <t>total_amount</t>
        </is>
      </c>
      <c r="L25" s="21" t="inlineStr"/>
      <c r="M25" s="22" t="inlineStr"/>
      <c r="N25" s="22" t="inlineStr"/>
    </row>
    <row r="26" ht="15" customHeight="1">
      <c r="A26" s="32" t="inlineStr">
        <is>
          <t>cmdSavePO</t>
        </is>
      </c>
      <c r="B26" s="7" t="inlineStr">
        <is>
          <t>cmd</t>
        </is>
      </c>
      <c r="C26" s="7" t="inlineStr">
        <is>
          <t>frPOFooter</t>
        </is>
      </c>
      <c r="D26" s="7" t="inlineStr">
        <is>
          <t>Save PO</t>
        </is>
      </c>
      <c r="E26" s="7" t="inlineStr">
        <is>
          <t>حفظ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Primary button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—</t>
        </is>
      </c>
      <c r="L26" s="7" t="inlineStr">
        <is>
          <t>Status starts as DRAFT.</t>
        </is>
      </c>
      <c r="M26" s="22" t="inlineStr"/>
      <c r="N26" s="22" t="inlineStr"/>
    </row>
  </sheetData>
  <mergeCells count="6">
    <mergeCell ref="A6:N6"/>
    <mergeCell ref="A4:N4"/>
    <mergeCell ref="A2:N2"/>
    <mergeCell ref="A15:N15"/>
    <mergeCell ref="A23:N23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3" t="inlineStr">
        <is>
          <t>frmMR_Admin  —  Money Requests Admin Page (3-stage workflow)  |  App → Operations</t>
        </is>
      </c>
    </row>
    <row r="2">
      <c r="A2" s="17" t="inlineStr">
        <is>
          <t>Yellow columns = your corrections.</t>
        </is>
      </c>
    </row>
    <row r="3" ht="32" customHeight="1">
      <c r="A3" s="34" t="inlineStr">
        <is>
          <t>Control Name (VBA)</t>
        </is>
      </c>
      <c r="B3" s="34" t="inlineStr">
        <is>
          <t>Type</t>
        </is>
      </c>
      <c r="C3" s="34" t="inlineStr">
        <is>
          <t>Frame / Section</t>
        </is>
      </c>
      <c r="D3" s="34" t="inlineStr">
        <is>
          <t>Label — English</t>
        </is>
      </c>
      <c r="E3" s="34" t="inlineStr">
        <is>
          <t>Label — Arabic</t>
        </is>
      </c>
      <c r="F3" s="34" t="inlineStr">
        <is>
          <t>Data Source / Table</t>
        </is>
      </c>
      <c r="G3" s="34" t="inlineStr">
        <is>
          <t>Depends On</t>
        </is>
      </c>
      <c r="H3" s="34" t="inlineStr">
        <is>
          <t>Format / Validation</t>
        </is>
      </c>
      <c r="I3" s="34" t="inlineStr">
        <is>
          <t>Required</t>
        </is>
      </c>
      <c r="J3" s="34" t="inlineStr">
        <is>
          <t>Read-Only</t>
        </is>
      </c>
      <c r="K3" s="34" t="inlineStr">
        <is>
          <t>DB Column (current)</t>
        </is>
      </c>
      <c r="L3" s="34" t="inlineStr">
        <is>
          <t>Business Rules / Notes</t>
        </is>
      </c>
      <c r="M3" s="34" t="inlineStr">
        <is>
          <t>✏ Your Correction</t>
        </is>
      </c>
      <c r="N3" s="34" t="inlineStr">
        <is>
          <t>✏ New DB Column</t>
        </is>
      </c>
    </row>
    <row r="4" ht="17" customHeight="1">
      <c r="A4" s="31" t="inlineStr">
        <is>
          <t xml:space="preserve">  ▸  frMRTabs  —  Three Tabs — Request | Received | Distribute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tglStage</t>
        </is>
      </c>
      <c r="B5" s="21" t="inlineStr">
        <is>
          <t>tgl</t>
        </is>
      </c>
      <c r="C5" s="21" t="inlineStr">
        <is>
          <t>frMRTabs</t>
        </is>
      </c>
      <c r="D5" s="21" t="inlineStr">
        <is>
          <t>Stage: Request / Received / Distribute</t>
        </is>
      </c>
      <c r="E5" s="21" t="inlineStr">
        <is>
          <t>—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Tab navigator — one form per stage</t>
        </is>
      </c>
      <c r="I5" s="21" t="inlineStr">
        <is>
          <t>—</t>
        </is>
      </c>
      <c r="J5" s="21" t="inlineStr">
        <is>
          <t>—</t>
        </is>
      </c>
      <c r="K5" s="21" t="inlineStr">
        <is>
          <t>—</t>
        </is>
      </c>
      <c r="L5" s="21" t="inlineStr">
        <is>
          <t>Three distinct stages. Each stage has its own button and logic.</t>
        </is>
      </c>
      <c r="M5" s="22" t="inlineStr"/>
      <c r="N5" s="22" t="inlineStr"/>
    </row>
    <row r="6" ht="17" customHeight="1">
      <c r="A6" s="31" t="inlineStr">
        <is>
          <t xml:space="preserve">  ▸  frMRFilters  —  Filters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</row>
    <row r="7" ht="15" customHeight="1">
      <c r="A7" s="32" t="inlineStr">
        <is>
          <t>txtSearch</t>
        </is>
      </c>
      <c r="B7" s="21" t="inlineStr">
        <is>
          <t>txt</t>
        </is>
      </c>
      <c r="C7" s="21" t="inlineStr">
        <is>
          <t>frMRFilters</t>
        </is>
      </c>
      <c r="D7" s="21" t="inlineStr">
        <is>
          <t>Search by Req# / Party / Dept</t>
        </is>
      </c>
      <c r="E7" s="21" t="inlineStr">
        <is>
          <t>بحث</t>
        </is>
      </c>
      <c r="F7" s="21" t="inlineStr">
        <is>
          <t>—</t>
        </is>
      </c>
      <c r="G7" s="21" t="inlineStr">
        <is>
          <t>—</t>
        </is>
      </c>
      <c r="H7" s="21" t="inlineStr">
        <is>
          <t>Free text</t>
        </is>
      </c>
      <c r="I7" s="21" t="inlineStr">
        <is>
          <t>N</t>
        </is>
      </c>
      <c r="J7" s="21" t="inlineStr">
        <is>
          <t>—</t>
        </is>
      </c>
      <c r="K7" s="21" t="inlineStr">
        <is>
          <t>—</t>
        </is>
      </c>
      <c r="L7" s="21" t="inlineStr"/>
      <c r="M7" s="22" t="inlineStr"/>
      <c r="N7" s="22" t="inlineStr"/>
    </row>
    <row r="8" ht="15" customHeight="1">
      <c r="A8" s="32" t="inlineStr">
        <is>
          <t>cboFilterStatus</t>
        </is>
      </c>
      <c r="B8" s="7" t="inlineStr">
        <is>
          <t>cbo</t>
        </is>
      </c>
      <c r="C8" s="7" t="inlineStr">
        <is>
          <t>frMRFilters</t>
        </is>
      </c>
      <c r="D8" s="7" t="inlineStr">
        <is>
          <t>Status Filter</t>
        </is>
      </c>
      <c r="E8" s="7" t="inlineStr">
        <is>
          <t>تصفية الحالة</t>
        </is>
      </c>
      <c r="F8" s="7" t="inlineStr">
        <is>
          <t>money_request statuses</t>
        </is>
      </c>
      <c r="G8" s="7" t="inlineStr">
        <is>
          <t>—</t>
        </is>
      </c>
      <c r="H8" s="7" t="inlineStr">
        <is>
          <t>ALL|PENDING|DH_APPROVED|ACCOUNTANT_RECEIVED|ISSUED|PARTIALLY_DISTRIBUTED|DISTRIBUTED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7" t="inlineStr"/>
      <c r="M8" s="22" t="inlineStr"/>
      <c r="N8" s="22" t="inlineStr"/>
    </row>
    <row r="9" ht="17" customHeight="1">
      <c r="A9" s="31" t="inlineStr">
        <is>
          <t xml:space="preserve">  ▸  frRequestStage  —  Stage 1: Request  — Create / View money request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4" t="n"/>
    </row>
    <row r="10" ht="15" customHeight="1">
      <c r="A10" s="32" t="inlineStr">
        <is>
          <t>txtReqNumber</t>
        </is>
      </c>
      <c r="B10" s="7" t="inlineStr">
        <is>
          <t>txt</t>
        </is>
      </c>
      <c r="C10" s="7" t="inlineStr">
        <is>
          <t>frRequestStage</t>
        </is>
      </c>
      <c r="D10" s="7" t="inlineStr">
        <is>
          <t>Request # (auto)</t>
        </is>
      </c>
      <c r="E10" s="7" t="inlineStr">
        <is>
          <t>رقم الطلب</t>
        </is>
      </c>
      <c r="F10" s="7" t="inlineStr">
        <is>
          <t>Auto: MR-YYYY-NNN</t>
        </is>
      </c>
      <c r="G10" s="7" t="inlineStr">
        <is>
          <t>—</t>
        </is>
      </c>
      <c r="H10" s="7" t="inlineStr">
        <is>
          <t>Read-only after save</t>
        </is>
      </c>
      <c r="I10" s="7" t="inlineStr">
        <is>
          <t>—</t>
        </is>
      </c>
      <c r="J10" s="7" t="inlineStr">
        <is>
          <t>Y</t>
        </is>
      </c>
      <c r="K10" s="7" t="inlineStr">
        <is>
          <t>request_number</t>
        </is>
      </c>
      <c r="L10" s="7" t="inlineStr"/>
      <c r="M10" s="22" t="inlineStr"/>
      <c r="N10" s="22" t="inlineStr"/>
    </row>
    <row r="11" ht="15" customHeight="1">
      <c r="A11" s="32" t="inlineStr">
        <is>
          <t>txtReqDate</t>
        </is>
      </c>
      <c r="B11" s="21" t="inlineStr">
        <is>
          <t>txt</t>
        </is>
      </c>
      <c r="C11" s="21" t="inlineStr">
        <is>
          <t>frRequestStage</t>
        </is>
      </c>
      <c r="D11" s="21" t="inlineStr">
        <is>
          <t>Date</t>
        </is>
      </c>
      <c r="E11" s="21" t="inlineStr">
        <is>
          <t>التاريخ</t>
        </is>
      </c>
      <c r="F11" s="21" t="inlineStr">
        <is>
          <t>today()</t>
        </is>
      </c>
      <c r="G11" s="21" t="inlineStr">
        <is>
          <t>—</t>
        </is>
      </c>
      <c r="H11" s="21" t="inlineStr">
        <is>
          <t>DD/MM/YYYY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request_date</t>
        </is>
      </c>
      <c r="L11" s="21" t="inlineStr"/>
      <c r="M11" s="22" t="inlineStr"/>
      <c r="N11" s="22" t="inlineStr"/>
    </row>
    <row r="12" ht="15" customHeight="1">
      <c r="A12" s="32" t="inlineStr">
        <is>
          <t>cboDept</t>
        </is>
      </c>
      <c r="B12" s="7" t="inlineStr">
        <is>
          <t>cbo</t>
        </is>
      </c>
      <c r="C12" s="7" t="inlineStr">
        <is>
          <t>frRequestStage</t>
        </is>
      </c>
      <c r="D12" s="7" t="inlineStr">
        <is>
          <t>Department</t>
        </is>
      </c>
      <c r="E12" s="7" t="inlineStr">
        <is>
          <t>القسم</t>
        </is>
      </c>
      <c r="F12" s="7" t="inlineStr">
        <is>
          <t>departments WHERE entity_id</t>
        </is>
      </c>
      <c r="G12" s="7" t="inlineStr">
        <is>
          <t>—</t>
        </is>
      </c>
      <c r="H12" s="7" t="inlineStr">
        <is>
          <t>dept_code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department_id</t>
        </is>
      </c>
      <c r="L12" s="7" t="inlineStr"/>
      <c r="M12" s="22" t="inlineStr"/>
      <c r="N12" s="22" t="inlineStr"/>
    </row>
    <row r="13" ht="15" customHeight="1">
      <c r="A13" s="32" t="inlineStr">
        <is>
          <t>cboRequestor</t>
        </is>
      </c>
      <c r="B13" s="21" t="inlineStr">
        <is>
          <t>cbo</t>
        </is>
      </c>
      <c r="C13" s="21" t="inlineStr">
        <is>
          <t>frRequestStage</t>
        </is>
      </c>
      <c r="D13" s="21" t="inlineStr">
        <is>
          <t>Requested By</t>
        </is>
      </c>
      <c r="E13" s="21" t="inlineStr">
        <is>
          <t>مقدم الطلب</t>
        </is>
      </c>
      <c r="F13" s="21" t="inlineStr">
        <is>
          <t>employees (DH/PM/Supervisor)</t>
        </is>
      </c>
      <c r="G13" s="21" t="inlineStr">
        <is>
          <t>cboDept</t>
        </is>
      </c>
      <c r="H13" s="21" t="inlineStr">
        <is>
          <t>Two-tier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requested_by</t>
        </is>
      </c>
      <c r="L13" s="21" t="inlineStr"/>
      <c r="M13" s="22" t="inlineStr"/>
      <c r="N13" s="22" t="inlineStr"/>
    </row>
    <row r="14" ht="15" customHeight="1">
      <c r="A14" s="32" t="inlineStr">
        <is>
          <t>lstLines</t>
        </is>
      </c>
      <c r="B14" s="7" t="inlineStr">
        <is>
          <t>lst</t>
        </is>
      </c>
      <c r="C14" s="7" t="inlineStr">
        <is>
          <t>frRequestStage</t>
        </is>
      </c>
      <c r="D14" s="7" t="inlineStr">
        <is>
          <t>Payment Lines  (same as public form)</t>
        </is>
      </c>
      <c r="E14" s="7" t="inlineStr">
        <is>
          <t>سطور الدفع</t>
        </is>
      </c>
      <c r="F14" s="7" t="inlineStr">
        <is>
          <t>—</t>
        </is>
      </c>
      <c r="G14" s="7" t="inlineStr">
        <is>
          <t>—</t>
        </is>
      </c>
      <c r="H14" s="7" t="inlineStr">
        <is>
          <t>See frmMoneyRequest for line fields</t>
        </is>
      </c>
      <c r="I14" s="7" t="inlineStr">
        <is>
          <t>Y</t>
        </is>
      </c>
      <c r="J14" s="7" t="inlineStr">
        <is>
          <t>—</t>
        </is>
      </c>
      <c r="K14" s="7" t="inlineStr">
        <is>
          <t>money_request_lines</t>
        </is>
      </c>
      <c r="L14" s="7" t="inlineStr">
        <is>
          <t>Full line detail same as public form.</t>
        </is>
      </c>
      <c r="M14" s="22" t="inlineStr"/>
      <c r="N14" s="22" t="inlineStr"/>
    </row>
    <row r="15" ht="15" customHeight="1">
      <c r="A15" s="32" t="inlineStr">
        <is>
          <t>cboStatus</t>
        </is>
      </c>
      <c r="B15" s="21" t="inlineStr">
        <is>
          <t>cbo</t>
        </is>
      </c>
      <c r="C15" s="21" t="inlineStr">
        <is>
          <t>frRequestStage</t>
        </is>
      </c>
      <c r="D15" s="21" t="inlineStr">
        <is>
          <t>Status</t>
        </is>
      </c>
      <c r="E15" s="21" t="inlineStr">
        <is>
          <t>الحالة</t>
        </is>
      </c>
      <c r="F15" s="21" t="inlineStr">
        <is>
          <t>Auto by role</t>
        </is>
      </c>
      <c r="G15" s="21" t="inlineStr">
        <is>
          <t>—</t>
        </is>
      </c>
      <c r="H15" s="21" t="inlineStr">
        <is>
          <t>Set automatically: DH→DH_APPROVED | Others→PENDING</t>
        </is>
      </c>
      <c r="I15" s="21" t="inlineStr">
        <is>
          <t>—</t>
        </is>
      </c>
      <c r="J15" s="21" t="inlineStr">
        <is>
          <t>Y</t>
        </is>
      </c>
      <c r="K15" s="21" t="inlineStr">
        <is>
          <t>status</t>
        </is>
      </c>
      <c r="L15" s="21" t="inlineStr"/>
      <c r="M15" s="22" t="inlineStr"/>
      <c r="N15" s="22" t="inlineStr"/>
    </row>
    <row r="16" ht="17" customHeight="1">
      <c r="A16" s="31" t="inlineStr">
        <is>
          <t xml:space="preserve">  ▸  frReceivedStage  —  Stage 2: Received  — Accountant confirms receipt from bank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32" t="inlineStr">
        <is>
          <t>txtReceivedDate</t>
        </is>
      </c>
      <c r="B17" s="21" t="inlineStr">
        <is>
          <t>txt</t>
        </is>
      </c>
      <c r="C17" s="21" t="inlineStr">
        <is>
          <t>frReceivedStage</t>
        </is>
      </c>
      <c r="D17" s="21" t="inlineStr">
        <is>
          <t>Received Date *</t>
        </is>
      </c>
      <c r="E17" s="21" t="inlineStr">
        <is>
          <t>تاريخ الاستلام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DD/MM/YYYY</t>
        </is>
      </c>
      <c r="I17" s="21" t="inlineStr">
        <is>
          <t>Y</t>
        </is>
      </c>
      <c r="J17" s="21" t="inlineStr">
        <is>
          <t>N</t>
        </is>
      </c>
      <c r="K17" s="21" t="inlineStr">
        <is>
          <t>received_date (add to money_requests)</t>
        </is>
      </c>
      <c r="L17" s="21" t="inlineStr"/>
      <c r="M17" s="22" t="inlineStr"/>
      <c r="N17" s="22" t="inlineStr"/>
    </row>
    <row r="18" ht="15" customHeight="1">
      <c r="A18" s="32" t="inlineStr">
        <is>
          <t>txtReceivedAmount</t>
        </is>
      </c>
      <c r="B18" s="7" t="inlineStr">
        <is>
          <t>txt</t>
        </is>
      </c>
      <c r="C18" s="7" t="inlineStr">
        <is>
          <t>frReceivedStage</t>
        </is>
      </c>
      <c r="D18" s="7" t="inlineStr">
        <is>
          <t>Received Amount (SAR)</t>
        </is>
      </c>
      <c r="E18" s="7" t="inlineStr">
        <is>
          <t>المبلغ المستلم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#,##0.00</t>
        </is>
      </c>
      <c r="I18" s="7" t="inlineStr">
        <is>
          <t>Y</t>
        </is>
      </c>
      <c r="J18" s="7" t="inlineStr">
        <is>
          <t>N</t>
        </is>
      </c>
      <c r="K18" s="7" t="inlineStr">
        <is>
          <t>received_amount (add to money_requests)</t>
        </is>
      </c>
      <c r="L18" s="7" t="inlineStr"/>
      <c r="M18" s="22" t="inlineStr"/>
      <c r="N18" s="22" t="inlineStr"/>
    </row>
    <row r="19" ht="15" customHeight="1">
      <c r="A19" s="32" t="inlineStr">
        <is>
          <t>txtBankRef</t>
        </is>
      </c>
      <c r="B19" s="21" t="inlineStr">
        <is>
          <t>txt</t>
        </is>
      </c>
      <c r="C19" s="21" t="inlineStr">
        <is>
          <t>frReceivedStage</t>
        </is>
      </c>
      <c r="D19" s="21" t="inlineStr">
        <is>
          <t>Bank Reference</t>
        </is>
      </c>
      <c r="E19" s="21" t="inlineStr">
        <is>
          <t>مرجع البنك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Free text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bank_reference (add to money_requests)</t>
        </is>
      </c>
      <c r="L19" s="21" t="inlineStr"/>
      <c r="M19" s="22" t="inlineStr"/>
      <c r="N19" s="22" t="inlineStr"/>
    </row>
    <row r="20" ht="15" customHeight="1">
      <c r="A20" s="32" t="inlineStr">
        <is>
          <t>cmdMarkReceived</t>
        </is>
      </c>
      <c r="B20" s="7" t="inlineStr">
        <is>
          <t>cmd</t>
        </is>
      </c>
      <c r="C20" s="7" t="inlineStr">
        <is>
          <t>frReceivedStage</t>
        </is>
      </c>
      <c r="D20" s="7" t="inlineStr">
        <is>
          <t>Mark as Received</t>
        </is>
      </c>
      <c r="E20" s="7" t="inlineStr">
        <is>
          <t>تأكيد الاستلام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Button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Sets status = ACCOUNTANT_RECEIVED.</t>
        </is>
      </c>
      <c r="M20" s="22" t="inlineStr"/>
      <c r="N20" s="22" t="inlineStr"/>
    </row>
    <row r="21" ht="17" customHeight="1">
      <c r="A21" s="31" t="inlineStr">
        <is>
          <t xml:space="preserve">  ▸  frDistributeStage  —  Stage 3: Distribute  — Assign amounts to each payee line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4" t="n"/>
    </row>
    <row r="22" ht="15" customHeight="1">
      <c r="A22" s="32" t="inlineStr">
        <is>
          <t>txtDistDate</t>
        </is>
      </c>
      <c r="B22" s="7" t="inlineStr">
        <is>
          <t>txt</t>
        </is>
      </c>
      <c r="C22" s="7" t="inlineStr">
        <is>
          <t>frDistributeStage</t>
        </is>
      </c>
      <c r="D22" s="7" t="inlineStr">
        <is>
          <t>Distribution Date *</t>
        </is>
      </c>
      <c r="E22" s="7" t="inlineStr">
        <is>
          <t>تاريخ التوزيع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DD/MM/YYYY | Default today</t>
        </is>
      </c>
      <c r="I22" s="7" t="inlineStr">
        <is>
          <t>Y</t>
        </is>
      </c>
      <c r="J22" s="7" t="inlineStr">
        <is>
          <t>N</t>
        </is>
      </c>
      <c r="K22" s="7" t="inlineStr">
        <is>
          <t>distributed_at (add to money_requests)</t>
        </is>
      </c>
      <c r="L22" s="7" t="inlineStr"/>
      <c r="M22" s="22" t="inlineStr"/>
      <c r="N22" s="22" t="inlineStr"/>
    </row>
    <row r="23" ht="15" customHeight="1">
      <c r="A23" s="32" t="inlineStr">
        <is>
          <t>txtDistAmount</t>
        </is>
      </c>
      <c r="B23" s="21" t="inlineStr">
        <is>
          <t>txt</t>
        </is>
      </c>
      <c r="C23" s="21" t="inlineStr">
        <is>
          <t>frDistributeStage</t>
        </is>
      </c>
      <c r="D23" s="21" t="inlineStr">
        <is>
          <t>Amount to Distribute (SAR)</t>
        </is>
      </c>
      <c r="E23" s="21" t="inlineStr">
        <is>
          <t>المبلغ الموزع</t>
        </is>
      </c>
      <c r="F23" s="21" t="inlineStr">
        <is>
          <t>Per-line entry</t>
        </is>
      </c>
      <c r="G23" s="21" t="inlineStr">
        <is>
          <t>—</t>
        </is>
      </c>
      <c r="H23" s="21" t="inlineStr">
        <is>
          <t>#,##0.00</t>
        </is>
      </c>
      <c r="I23" s="21" t="inlineStr">
        <is>
          <t>Y</t>
        </is>
      </c>
      <c r="J23" s="21" t="inlineStr">
        <is>
          <t>N</t>
        </is>
      </c>
      <c r="K23" s="21" t="inlineStr">
        <is>
          <t>distributed_amount (money_request_lines)</t>
        </is>
      </c>
      <c r="L23" s="21" t="inlineStr">
        <is>
          <t>One entry per line.</t>
        </is>
      </c>
      <c r="M23" s="22" t="inlineStr"/>
      <c r="N23" s="22" t="inlineStr"/>
    </row>
    <row r="24" ht="15" customHeight="1">
      <c r="A24" s="32" t="inlineStr">
        <is>
          <t>txtDistNotes</t>
        </is>
      </c>
      <c r="B24" s="7" t="inlineStr">
        <is>
          <t>txt</t>
        </is>
      </c>
      <c r="C24" s="7" t="inlineStr">
        <is>
          <t>frDistributeStage</t>
        </is>
      </c>
      <c r="D24" s="7" t="inlineStr">
        <is>
          <t>Distribution Notes</t>
        </is>
      </c>
      <c r="E24" s="7" t="inlineStr">
        <is>
          <t>ملاحظات التوزيع</t>
        </is>
      </c>
      <c r="F24" s="7" t="inlineStr">
        <is>
          <t>User</t>
        </is>
      </c>
      <c r="G24" s="7" t="inlineStr">
        <is>
          <t>—</t>
        </is>
      </c>
      <c r="H24" s="7" t="inlineStr">
        <is>
          <t>Free text</t>
        </is>
      </c>
      <c r="I24" s="7" t="inlineStr">
        <is>
          <t>N</t>
        </is>
      </c>
      <c r="J24" s="7" t="inlineStr">
        <is>
          <t>N</t>
        </is>
      </c>
      <c r="K24" s="7" t="inlineStr">
        <is>
          <t>distribution_notes (add)</t>
        </is>
      </c>
      <c r="L24" s="7" t="inlineStr"/>
      <c r="M24" s="22" t="inlineStr"/>
      <c r="N24" s="22" t="inlineStr"/>
    </row>
    <row r="25" ht="15" customHeight="1">
      <c r="A25" s="32" t="inlineStr">
        <is>
          <t>cmdDistribute</t>
        </is>
      </c>
      <c r="B25" s="21" t="inlineStr">
        <is>
          <t>cmd</t>
        </is>
      </c>
      <c r="C25" s="21" t="inlineStr">
        <is>
          <t>frDistributeStage</t>
        </is>
      </c>
      <c r="D25" s="21" t="inlineStr">
        <is>
          <t>Confirm Distribution</t>
        </is>
      </c>
      <c r="E25" s="21" t="inlineStr">
        <is>
          <t>تأكيد التوزيع</t>
        </is>
      </c>
      <c r="F25" s="21" t="inlineStr">
        <is>
          <t>—</t>
        </is>
      </c>
      <c r="G25" s="21" t="inlineStr">
        <is>
          <t>—</t>
        </is>
      </c>
      <c r="H25" s="21" t="inlineStr">
        <is>
          <t>Button</t>
        </is>
      </c>
      <c r="I25" s="21" t="inlineStr">
        <is>
          <t>—</t>
        </is>
      </c>
      <c r="J25" s="21" t="inlineStr">
        <is>
          <t>—</t>
        </is>
      </c>
      <c r="K25" s="21" t="inlineStr">
        <is>
          <t>—</t>
        </is>
      </c>
      <c r="L25" s="21" t="inlineStr">
        <is>
          <t>Sets status = DISTRIBUTED or PARTIALLY_DISTRIBUTED.</t>
        </is>
      </c>
      <c r="M25" s="22" t="inlineStr"/>
      <c r="N25" s="22" t="inlineStr"/>
    </row>
  </sheetData>
  <mergeCells count="7">
    <mergeCell ref="A9:N9"/>
    <mergeCell ref="A6:N6"/>
    <mergeCell ref="A4:N4"/>
    <mergeCell ref="A21:N21"/>
    <mergeCell ref="A2:N2"/>
    <mergeCell ref="A16:N16"/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3" t="inlineStr">
        <is>
          <t>frmSiteAssignment  —  Site Assignment  |  App → Masters</t>
        </is>
      </c>
    </row>
    <row r="2">
      <c r="A2" s="17" t="inlineStr">
        <is>
          <t>Yellow columns = your corrections.</t>
        </is>
      </c>
    </row>
    <row r="3" ht="32" customHeight="1">
      <c r="A3" s="34" t="inlineStr">
        <is>
          <t>Control Name (VBA)</t>
        </is>
      </c>
      <c r="B3" s="34" t="inlineStr">
        <is>
          <t>Type</t>
        </is>
      </c>
      <c r="C3" s="34" t="inlineStr">
        <is>
          <t>Frame / Section</t>
        </is>
      </c>
      <c r="D3" s="34" t="inlineStr">
        <is>
          <t>Label — English</t>
        </is>
      </c>
      <c r="E3" s="34" t="inlineStr">
        <is>
          <t>Label — Arabic</t>
        </is>
      </c>
      <c r="F3" s="34" t="inlineStr">
        <is>
          <t>Data Source / Table</t>
        </is>
      </c>
      <c r="G3" s="34" t="inlineStr">
        <is>
          <t>Depends On</t>
        </is>
      </c>
      <c r="H3" s="34" t="inlineStr">
        <is>
          <t>Format / Validation</t>
        </is>
      </c>
      <c r="I3" s="34" t="inlineStr">
        <is>
          <t>Required</t>
        </is>
      </c>
      <c r="J3" s="34" t="inlineStr">
        <is>
          <t>Read-Only</t>
        </is>
      </c>
      <c r="K3" s="34" t="inlineStr">
        <is>
          <t>DB Column (current)</t>
        </is>
      </c>
      <c r="L3" s="34" t="inlineStr">
        <is>
          <t>Business Rules / Notes</t>
        </is>
      </c>
      <c r="M3" s="34" t="inlineStr">
        <is>
          <t>✏ Your Correction</t>
        </is>
      </c>
      <c r="N3" s="34" t="inlineStr">
        <is>
          <t>✏ New DB Column</t>
        </is>
      </c>
    </row>
    <row r="4" ht="17" customHeight="1">
      <c r="A4" s="31" t="inlineStr">
        <is>
          <t xml:space="preserve">  ▸  frAssignForm  —  Assign Employee / SubCon to Site (inline form)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2" t="inlineStr">
        <is>
          <t>cboAssigneeType</t>
        </is>
      </c>
      <c r="B5" s="21" t="inlineStr">
        <is>
          <t>cbo</t>
        </is>
      </c>
      <c r="C5" s="21" t="inlineStr">
        <is>
          <t>frAssignForm</t>
        </is>
      </c>
      <c r="D5" s="21" t="inlineStr">
        <is>
          <t>Assignee Type</t>
        </is>
      </c>
      <c r="E5" s="21" t="inlineStr">
        <is>
          <t>نوع المُعيَّن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EMPLOYEE|SUBCONTRACTOR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assignee_type</t>
        </is>
      </c>
      <c r="L5" s="21" t="inlineStr">
        <is>
          <t>Switches cboAssignee source.</t>
        </is>
      </c>
      <c r="M5" s="22" t="inlineStr"/>
      <c r="N5" s="22" t="inlineStr"/>
    </row>
    <row r="6" ht="15" customHeight="1">
      <c r="A6" s="32" t="inlineStr">
        <is>
          <t>cboAssignee</t>
        </is>
      </c>
      <c r="B6" s="7" t="inlineStr">
        <is>
          <t>cbo</t>
        </is>
      </c>
      <c r="C6" s="7" t="inlineStr">
        <is>
          <t>frAssignForm</t>
        </is>
      </c>
      <c r="D6" s="7" t="inlineStr">
        <is>
          <t>Employee / SubCon *</t>
        </is>
      </c>
      <c r="E6" s="7" t="inlineStr">
        <is>
          <t>الموظف / المقاول</t>
        </is>
      </c>
      <c r="F6" s="7" t="inlineStr">
        <is>
          <t>employees OR contractors</t>
        </is>
      </c>
      <c r="G6" s="7" t="inlineStr">
        <is>
          <t>cboAssigneeType</t>
        </is>
      </c>
      <c r="H6" s="7" t="inlineStr">
        <is>
          <t>All active employees OR subcons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employee_id OR contractor_id</t>
        </is>
      </c>
      <c r="L6" s="7" t="inlineStr"/>
      <c r="M6" s="22" t="inlineStr"/>
      <c r="N6" s="22" t="inlineStr"/>
    </row>
    <row r="7" ht="15" customHeight="1">
      <c r="A7" s="32" t="inlineStr">
        <is>
          <t>cboSite</t>
        </is>
      </c>
      <c r="B7" s="21" t="inlineStr">
        <is>
          <t>cbo</t>
        </is>
      </c>
      <c r="C7" s="21" t="inlineStr">
        <is>
          <t>frAssignForm</t>
        </is>
      </c>
      <c r="D7" s="21" t="inlineStr">
        <is>
          <t>Site *</t>
        </is>
      </c>
      <c r="E7" s="21" t="inlineStr">
        <is>
          <t>الموقع</t>
        </is>
      </c>
      <c r="F7" s="21" t="inlineStr">
        <is>
          <t>site_masters WHERE entity_id AND status=ACTIVE</t>
        </is>
      </c>
      <c r="G7" s="21" t="inlineStr">
        <is>
          <t>—</t>
        </is>
      </c>
      <c r="H7" s="21" t="inlineStr">
        <is>
          <t>[job_no] site_name | UUID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site_master_id</t>
        </is>
      </c>
      <c r="L7" s="21" t="inlineStr"/>
      <c r="M7" s="22" t="inlineStr"/>
      <c r="N7" s="22" t="inlineStr"/>
    </row>
    <row r="8" ht="15" customHeight="1">
      <c r="A8" s="32" t="inlineStr">
        <is>
          <t>txtDate</t>
        </is>
      </c>
      <c r="B8" s="7" t="inlineStr">
        <is>
          <t>txt</t>
        </is>
      </c>
      <c r="C8" s="7" t="inlineStr">
        <is>
          <t>frAssignForm</t>
        </is>
      </c>
      <c r="D8" s="7" t="inlineStr">
        <is>
          <t>Assignment Date *</t>
        </is>
      </c>
      <c r="E8" s="7" t="inlineStr">
        <is>
          <t>تاريخ التعيين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DD/MM/YYYY | Default today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assignment_date</t>
        </is>
      </c>
      <c r="L8" s="7" t="inlineStr"/>
      <c r="M8" s="22" t="inlineStr"/>
      <c r="N8" s="22" t="inlineStr"/>
    </row>
    <row r="9" ht="15" customHeight="1">
      <c r="A9" s="32" t="inlineStr">
        <is>
          <t>chkIsRemote</t>
        </is>
      </c>
      <c r="B9" s="21" t="inlineStr">
        <is>
          <t>chk</t>
        </is>
      </c>
      <c r="C9" s="21" t="inlineStr">
        <is>
          <t>frAssignForm</t>
        </is>
      </c>
      <c r="D9" s="21" t="inlineStr">
        <is>
          <t>Is Remote / Off-site</t>
        </is>
      </c>
      <c r="E9" s="21" t="inlineStr">
        <is>
          <t>عن بعد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Y/N | Default Y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is_remote</t>
        </is>
      </c>
      <c r="L9" s="21" t="inlineStr"/>
      <c r="M9" s="22" t="inlineStr"/>
      <c r="N9" s="22" t="inlineStr"/>
    </row>
    <row r="10" ht="15" customHeight="1">
      <c r="A10" s="32" t="inlineStr">
        <is>
          <t>cboScopeType</t>
        </is>
      </c>
      <c r="B10" s="7" t="inlineStr">
        <is>
          <t>cbo</t>
        </is>
      </c>
      <c r="C10" s="7" t="inlineStr">
        <is>
          <t>frAssignForm</t>
        </is>
      </c>
      <c r="D10" s="7" t="inlineStr">
        <is>
          <t>Scope Type</t>
        </is>
      </c>
      <c r="E10" s="7" t="inlineStr">
        <is>
          <t>نوع النطاق</t>
        </is>
      </c>
      <c r="F10" s="7" t="inlineStr">
        <is>
          <t>Hardcoded</t>
        </is>
      </c>
      <c r="G10" s="7" t="inlineStr">
        <is>
          <t>—</t>
        </is>
      </c>
      <c r="H10" s="7" t="inlineStr">
        <is>
          <t>GENERAL|INSTALLATION|MAINTENANCE|INSPECTION|CIVIL|OTHER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scope_type</t>
        </is>
      </c>
      <c r="L10" s="7" t="inlineStr"/>
      <c r="M10" s="22" t="inlineStr"/>
      <c r="N10" s="22" t="inlineStr"/>
    </row>
    <row r="11" ht="15" customHeight="1">
      <c r="A11" s="32" t="inlineStr">
        <is>
          <t>txtNotes</t>
        </is>
      </c>
      <c r="B11" s="21" t="inlineStr">
        <is>
          <t>txt</t>
        </is>
      </c>
      <c r="C11" s="21" t="inlineStr">
        <is>
          <t>frAssignForm</t>
        </is>
      </c>
      <c r="D11" s="21" t="inlineStr">
        <is>
          <t>Notes</t>
        </is>
      </c>
      <c r="E11" s="21" t="inlineStr">
        <is>
          <t>ملاحظات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Free text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notes</t>
        </is>
      </c>
      <c r="L11" s="21" t="inlineStr"/>
      <c r="M11" s="22" t="inlineStr"/>
      <c r="N11" s="22" t="inlineStr"/>
    </row>
    <row r="12" ht="15" customHeight="1">
      <c r="A12" s="32" t="inlineStr">
        <is>
          <t>cmdAssign</t>
        </is>
      </c>
      <c r="B12" s="7" t="inlineStr">
        <is>
          <t>cmd</t>
        </is>
      </c>
      <c r="C12" s="7" t="inlineStr">
        <is>
          <t>frAssignForm</t>
        </is>
      </c>
      <c r="D12" s="7" t="inlineStr">
        <is>
          <t>Assign</t>
        </is>
      </c>
      <c r="E12" s="7" t="inlineStr">
        <is>
          <t>تعيين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Primary button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Inserts into site_assignments.</t>
        </is>
      </c>
      <c r="M12" s="22" t="inlineStr"/>
      <c r="N12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5" t="inlineStr">
        <is>
          <t>frmPayroll  —  Payroll Run  |  App → HR</t>
        </is>
      </c>
    </row>
    <row r="2">
      <c r="A2" s="17" t="inlineStr">
        <is>
          <t>Yellow columns = your corrections.</t>
        </is>
      </c>
    </row>
    <row r="3" ht="32" customHeight="1">
      <c r="A3" s="36" t="inlineStr">
        <is>
          <t>Control Name (VBA)</t>
        </is>
      </c>
      <c r="B3" s="36" t="inlineStr">
        <is>
          <t>Type</t>
        </is>
      </c>
      <c r="C3" s="36" t="inlineStr">
        <is>
          <t>Frame / Section</t>
        </is>
      </c>
      <c r="D3" s="36" t="inlineStr">
        <is>
          <t>Label — English</t>
        </is>
      </c>
      <c r="E3" s="36" t="inlineStr">
        <is>
          <t>Label — Arabic</t>
        </is>
      </c>
      <c r="F3" s="36" t="inlineStr">
        <is>
          <t>Data Source / Table</t>
        </is>
      </c>
      <c r="G3" s="36" t="inlineStr">
        <is>
          <t>Depends On</t>
        </is>
      </c>
      <c r="H3" s="36" t="inlineStr">
        <is>
          <t>Format / Validation</t>
        </is>
      </c>
      <c r="I3" s="36" t="inlineStr">
        <is>
          <t>Required</t>
        </is>
      </c>
      <c r="J3" s="36" t="inlineStr">
        <is>
          <t>Read-Only</t>
        </is>
      </c>
      <c r="K3" s="36" t="inlineStr">
        <is>
          <t>DB Column (current)</t>
        </is>
      </c>
      <c r="L3" s="36" t="inlineStr">
        <is>
          <t>Business Rules / Notes</t>
        </is>
      </c>
      <c r="M3" s="36" t="inlineStr">
        <is>
          <t>✏ Your Correction</t>
        </is>
      </c>
      <c r="N3" s="36" t="inlineStr">
        <is>
          <t>✏ New DB Column</t>
        </is>
      </c>
    </row>
    <row r="4" ht="17" customHeight="1">
      <c r="A4" s="37" t="inlineStr">
        <is>
          <t xml:space="preserve">  ▸  frRunPayroll  —  Run Payroll — Monthly batch process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8" t="inlineStr">
        <is>
          <t>txtSelMonth</t>
        </is>
      </c>
      <c r="B5" s="21" t="inlineStr">
        <is>
          <t>txt</t>
        </is>
      </c>
      <c r="C5" s="21" t="inlineStr">
        <is>
          <t>frRunPayroll</t>
        </is>
      </c>
      <c r="D5" s="21" t="inlineStr">
        <is>
          <t>Payroll Month *</t>
        </is>
      </c>
      <c r="E5" s="21" t="inlineStr">
        <is>
          <t>شهر الرواتب</t>
        </is>
      </c>
      <c r="F5" s="21" t="inlineStr">
        <is>
          <t>User / auto</t>
        </is>
      </c>
      <c r="G5" s="21" t="inlineStr">
        <is>
          <t>—</t>
        </is>
      </c>
      <c r="H5" s="21" t="inlineStr">
        <is>
          <t>YYYY-MM format e.g. 2025-07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payroll_month (payroll_runs.run_month)</t>
        </is>
      </c>
      <c r="L5" s="21" t="inlineStr">
        <is>
          <t>Run once per month per entity.</t>
        </is>
      </c>
      <c r="M5" s="22" t="inlineStr"/>
      <c r="N5" s="22" t="inlineStr"/>
    </row>
    <row r="6" ht="15" customHeight="1">
      <c r="A6" s="38" t="inlineStr">
        <is>
          <t>cmdRunPayroll</t>
        </is>
      </c>
      <c r="B6" s="7" t="inlineStr">
        <is>
          <t>cmd</t>
        </is>
      </c>
      <c r="C6" s="7" t="inlineStr">
        <is>
          <t>frRunPayroll</t>
        </is>
      </c>
      <c r="D6" s="7" t="inlineStr">
        <is>
          <t>Run Payroll</t>
        </is>
      </c>
      <c r="E6" s="7" t="inlineStr">
        <is>
          <t>تشغيل الرواتب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Primary button  |  Disabled if already run</t>
        </is>
      </c>
      <c r="I6" s="7" t="inlineStr">
        <is>
          <t>—</t>
        </is>
      </c>
      <c r="J6" s="7" t="inlineStr">
        <is>
          <t>—</t>
        </is>
      </c>
      <c r="K6" s="7" t="inlineStr">
        <is>
          <t>—</t>
        </is>
      </c>
      <c r="L6" s="7" t="inlineStr">
        <is>
          <t>Computes gross = basic+allowances. Deducts GOSI, loans, penalties. Creates payroll_entries per employee.</t>
        </is>
      </c>
      <c r="M6" s="22" t="inlineStr"/>
      <c r="N6" s="22" t="inlineStr"/>
    </row>
    <row r="7" ht="17" customHeight="1">
      <c r="A7" s="37" t="inlineStr">
        <is>
          <t xml:space="preserve">  ▸  frPayrollFilters  —  View / Filter Payroll Entries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4" t="n"/>
    </row>
    <row r="8" ht="15" customHeight="1">
      <c r="A8" s="38" t="inlineStr">
        <is>
          <t>cboFilterEntity</t>
        </is>
      </c>
      <c r="B8" s="7" t="inlineStr">
        <is>
          <t>cbo</t>
        </is>
      </c>
      <c r="C8" s="7" t="inlineStr">
        <is>
          <t>frPayrollFilters</t>
        </is>
      </c>
      <c r="D8" s="7" t="inlineStr">
        <is>
          <t>Entity</t>
        </is>
      </c>
      <c r="E8" s="7" t="inlineStr">
        <is>
          <t>المنشأة</t>
        </is>
      </c>
      <c r="F8" s="7" t="inlineStr">
        <is>
          <t>entities</t>
        </is>
      </c>
      <c r="G8" s="7" t="inlineStr">
        <is>
          <t>—</t>
        </is>
      </c>
      <c r="H8" s="7" t="inlineStr">
        <is>
          <t>RAT|GWT|ACCSYS</t>
        </is>
      </c>
      <c r="I8" s="7" t="inlineStr">
        <is>
          <t>—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SUPERADMIN can switch entities to generate WPS per entity.</t>
        </is>
      </c>
      <c r="M8" s="22" t="inlineStr"/>
      <c r="N8" s="22" t="inlineStr"/>
    </row>
    <row r="9" ht="15" customHeight="1">
      <c r="A9" s="38" t="inlineStr">
        <is>
          <t>txtSelMonthView</t>
        </is>
      </c>
      <c r="B9" s="21" t="inlineStr">
        <is>
          <t>txt</t>
        </is>
      </c>
      <c r="C9" s="21" t="inlineStr">
        <is>
          <t>frPayrollFilters</t>
        </is>
      </c>
      <c r="D9" s="21" t="inlineStr">
        <is>
          <t>View Month</t>
        </is>
      </c>
      <c r="E9" s="21" t="inlineStr">
        <is>
          <t>الشهر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YYYY-MM</t>
        </is>
      </c>
      <c r="I9" s="21" t="inlineStr">
        <is>
          <t>—</t>
        </is>
      </c>
      <c r="J9" s="21" t="inlineStr">
        <is>
          <t>—</t>
        </is>
      </c>
      <c r="K9" s="21" t="inlineStr">
        <is>
          <t>—</t>
        </is>
      </c>
      <c r="L9" s="21" t="inlineStr"/>
      <c r="M9" s="22" t="inlineStr"/>
      <c r="N9" s="22" t="inlineStr"/>
    </row>
    <row r="10" ht="17" customHeight="1">
      <c r="A10" s="37" t="inlineStr">
        <is>
          <t xml:space="preserve">  ▸  frWPS  —  WPS Export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38" t="inlineStr">
        <is>
          <t>cboWPSEntity</t>
        </is>
      </c>
      <c r="B11" s="21" t="inlineStr">
        <is>
          <t>cbo</t>
        </is>
      </c>
      <c r="C11" s="21" t="inlineStr">
        <is>
          <t>frWPS</t>
        </is>
      </c>
      <c r="D11" s="21" t="inlineStr">
        <is>
          <t>Export for Entity</t>
        </is>
      </c>
      <c r="E11" s="21" t="inlineStr">
        <is>
          <t>تصدير لمنشأة</t>
        </is>
      </c>
      <c r="F11" s="21" t="inlineStr">
        <is>
          <t>entities list</t>
        </is>
      </c>
      <c r="G11" s="21" t="inlineStr">
        <is>
          <t>—</t>
        </is>
      </c>
      <c r="H11" s="21" t="inlineStr">
        <is>
          <t>Select entity to generate WPS SIF file</t>
        </is>
      </c>
      <c r="I11" s="21" t="inlineStr">
        <is>
          <t>—</t>
        </is>
      </c>
      <c r="J11" s="21" t="inlineStr">
        <is>
          <t>—</t>
        </is>
      </c>
      <c r="K11" s="21" t="inlineStr">
        <is>
          <t>—</t>
        </is>
      </c>
      <c r="L11" s="21" t="inlineStr"/>
      <c r="M11" s="22" t="inlineStr"/>
      <c r="N11" s="22" t="inlineStr"/>
    </row>
    <row r="12" ht="15" customHeight="1">
      <c r="A12" s="38" t="inlineStr">
        <is>
          <t>cmdExportWPS</t>
        </is>
      </c>
      <c r="B12" s="7" t="inlineStr">
        <is>
          <t>cmd</t>
        </is>
      </c>
      <c r="C12" s="7" t="inlineStr">
        <is>
          <t>frWPS</t>
        </is>
      </c>
      <c r="D12" s="7" t="inlineStr">
        <is>
          <t>Export WPS SIF File</t>
        </is>
      </c>
      <c r="E12" s="7" t="inlineStr">
        <is>
          <t>تصدير ملف WPS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Generates Ministry of Labour WPS .SIF file</t>
        </is>
      </c>
      <c r="I12" s="7" t="inlineStr">
        <is>
          <t>—</t>
        </is>
      </c>
      <c r="J12" s="7" t="inlineStr">
        <is>
          <t>—</t>
        </is>
      </c>
      <c r="K12" s="7" t="inlineStr">
        <is>
          <t>—</t>
        </is>
      </c>
      <c r="L12" s="7" t="inlineStr">
        <is>
          <t>One file per entity. Must match MOL format.</t>
        </is>
      </c>
      <c r="M12" s="22" t="inlineStr"/>
      <c r="N12" s="22" t="inlineStr"/>
    </row>
    <row r="13" ht="17" customHeight="1">
      <c r="A13" s="37" t="inlineStr">
        <is>
          <t xml:space="preserve">  ▸  frPayrollData  —  Payroll Entry Detail  (read-only display per employee)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</row>
    <row r="14" ht="15" customHeight="1">
      <c r="A14" s="38" t="inlineStr">
        <is>
          <t>lblEmpName</t>
        </is>
      </c>
      <c r="B14" s="7" t="inlineStr">
        <is>
          <t>lbl</t>
        </is>
      </c>
      <c r="C14" s="7" t="inlineStr">
        <is>
          <t>frPayrollData</t>
        </is>
      </c>
      <c r="D14" s="7" t="inlineStr">
        <is>
          <t>Employee Name</t>
        </is>
      </c>
      <c r="E14" s="7" t="inlineStr">
        <is>
          <t>اسم الموظف</t>
        </is>
      </c>
      <c r="F14" s="7" t="inlineStr">
        <is>
          <t>payroll_entries.employee_id</t>
        </is>
      </c>
      <c r="G14" s="7" t="inlineStr">
        <is>
          <t>—</t>
        </is>
      </c>
      <c r="H14" s="7" t="inlineStr">
        <is>
          <t>Read-only</t>
        </is>
      </c>
      <c r="I14" s="7" t="inlineStr">
        <is>
          <t>—</t>
        </is>
      </c>
      <c r="J14" s="7" t="inlineStr">
        <is>
          <t>Y</t>
        </is>
      </c>
      <c r="K14" s="7" t="inlineStr">
        <is>
          <t>employees.full_name</t>
        </is>
      </c>
      <c r="L14" s="7" t="inlineStr"/>
      <c r="M14" s="22" t="inlineStr"/>
      <c r="N14" s="22" t="inlineStr"/>
    </row>
    <row r="15" ht="15" customHeight="1">
      <c r="A15" s="38" t="inlineStr">
        <is>
          <t>lblBasic</t>
        </is>
      </c>
      <c r="B15" s="21" t="inlineStr">
        <is>
          <t>lbl</t>
        </is>
      </c>
      <c r="C15" s="21" t="inlineStr">
        <is>
          <t>frPayrollData</t>
        </is>
      </c>
      <c r="D15" s="21" t="inlineStr">
        <is>
          <t>Basic Salary</t>
        </is>
      </c>
      <c r="E15" s="21" t="inlineStr">
        <is>
          <t>الراتب الأساسي</t>
        </is>
      </c>
      <c r="F15" s="21" t="inlineStr">
        <is>
          <t>payroll_entries</t>
        </is>
      </c>
      <c r="G15" s="21" t="inlineStr">
        <is>
          <t>—</t>
        </is>
      </c>
      <c r="H15" s="21" t="inlineStr">
        <is>
          <t>SAR #,##0.00</t>
        </is>
      </c>
      <c r="I15" s="21" t="inlineStr">
        <is>
          <t>—</t>
        </is>
      </c>
      <c r="J15" s="21" t="inlineStr">
        <is>
          <t>Y</t>
        </is>
      </c>
      <c r="K15" s="21" t="inlineStr">
        <is>
          <t>payroll_entries.basic_salary</t>
        </is>
      </c>
      <c r="L15" s="21" t="inlineStr"/>
      <c r="M15" s="22" t="inlineStr"/>
      <c r="N15" s="22" t="inlineStr"/>
    </row>
    <row r="16" ht="15" customHeight="1">
      <c r="A16" s="38" t="inlineStr">
        <is>
          <t>lblAllowances</t>
        </is>
      </c>
      <c r="B16" s="7" t="inlineStr">
        <is>
          <t>lbl</t>
        </is>
      </c>
      <c r="C16" s="7" t="inlineStr">
        <is>
          <t>frPayrollData</t>
        </is>
      </c>
      <c r="D16" s="7" t="inlineStr">
        <is>
          <t>Total Allowances</t>
        </is>
      </c>
      <c r="E16" s="7" t="inlineStr">
        <is>
          <t>إجمالي البدلات</t>
        </is>
      </c>
      <c r="F16" s="7" t="inlineStr">
        <is>
          <t>payroll_entries</t>
        </is>
      </c>
      <c r="G16" s="7" t="inlineStr">
        <is>
          <t>—</t>
        </is>
      </c>
      <c r="H16" s="7" t="inlineStr">
        <is>
          <t>SAR #,##0.00</t>
        </is>
      </c>
      <c r="I16" s="7" t="inlineStr">
        <is>
          <t>—</t>
        </is>
      </c>
      <c r="J16" s="7" t="inlineStr">
        <is>
          <t>Y</t>
        </is>
      </c>
      <c r="K16" s="7" t="inlineStr">
        <is>
          <t>payroll_entries.total_allowances</t>
        </is>
      </c>
      <c r="L16" s="7" t="inlineStr"/>
      <c r="M16" s="22" t="inlineStr"/>
      <c r="N16" s="22" t="inlineStr"/>
    </row>
    <row r="17" ht="15" customHeight="1">
      <c r="A17" s="38" t="inlineStr">
        <is>
          <t>lblGross</t>
        </is>
      </c>
      <c r="B17" s="21" t="inlineStr">
        <is>
          <t>lbl</t>
        </is>
      </c>
      <c r="C17" s="21" t="inlineStr">
        <is>
          <t>frPayrollData</t>
        </is>
      </c>
      <c r="D17" s="21" t="inlineStr">
        <is>
          <t>Gross Salary</t>
        </is>
      </c>
      <c r="E17" s="21" t="inlineStr">
        <is>
          <t>الراتب الإجمالي</t>
        </is>
      </c>
      <c r="F17" s="21" t="inlineStr">
        <is>
          <t>payroll_entries</t>
        </is>
      </c>
      <c r="G17" s="21" t="inlineStr">
        <is>
          <t>—</t>
        </is>
      </c>
      <c r="H17" s="21" t="inlineStr">
        <is>
          <t>SAR #,##0.00</t>
        </is>
      </c>
      <c r="I17" s="21" t="inlineStr">
        <is>
          <t>—</t>
        </is>
      </c>
      <c r="J17" s="21" t="inlineStr">
        <is>
          <t>Y</t>
        </is>
      </c>
      <c r="K17" s="21" t="inlineStr">
        <is>
          <t>payroll_entries.gross_salary</t>
        </is>
      </c>
      <c r="L17" s="21" t="inlineStr"/>
      <c r="M17" s="22" t="inlineStr"/>
      <c r="N17" s="22" t="inlineStr"/>
    </row>
    <row r="18" ht="15" customHeight="1">
      <c r="A18" s="38" t="inlineStr">
        <is>
          <t>lblGOSIDeduct</t>
        </is>
      </c>
      <c r="B18" s="7" t="inlineStr">
        <is>
          <t>lbl</t>
        </is>
      </c>
      <c r="C18" s="7" t="inlineStr">
        <is>
          <t>frPayrollData</t>
        </is>
      </c>
      <c r="D18" s="7" t="inlineStr">
        <is>
          <t>GOSI Deduction</t>
        </is>
      </c>
      <c r="E18" s="7" t="inlineStr">
        <is>
          <t>خصم GOSI</t>
        </is>
      </c>
      <c r="F18" s="7" t="inlineStr">
        <is>
          <t>payroll_entries</t>
        </is>
      </c>
      <c r="G18" s="7" t="inlineStr">
        <is>
          <t>—</t>
        </is>
      </c>
      <c r="H18" s="7" t="inlineStr">
        <is>
          <t>SAR #,##0.00</t>
        </is>
      </c>
      <c r="I18" s="7" t="inlineStr">
        <is>
          <t>—</t>
        </is>
      </c>
      <c r="J18" s="7" t="inlineStr">
        <is>
          <t>Y</t>
        </is>
      </c>
      <c r="K18" s="7" t="inlineStr">
        <is>
          <t>payroll_entries.gosi_deduction</t>
        </is>
      </c>
      <c r="L18" s="7" t="inlineStr"/>
      <c r="M18" s="22" t="inlineStr"/>
      <c r="N18" s="22" t="inlineStr"/>
    </row>
    <row r="19" ht="15" customHeight="1">
      <c r="A19" s="38" t="inlineStr">
        <is>
          <t>lblLoanDeduct</t>
        </is>
      </c>
      <c r="B19" s="21" t="inlineStr">
        <is>
          <t>lbl</t>
        </is>
      </c>
      <c r="C19" s="21" t="inlineStr">
        <is>
          <t>frPayrollData</t>
        </is>
      </c>
      <c r="D19" s="21" t="inlineStr">
        <is>
          <t>Loan Deduction</t>
        </is>
      </c>
      <c r="E19" s="21" t="inlineStr">
        <is>
          <t>خصم القرض</t>
        </is>
      </c>
      <c r="F19" s="21" t="inlineStr">
        <is>
          <t>payroll_entries</t>
        </is>
      </c>
      <c r="G19" s="21" t="inlineStr">
        <is>
          <t>—</t>
        </is>
      </c>
      <c r="H19" s="21" t="inlineStr">
        <is>
          <t>SAR #,##0.00</t>
        </is>
      </c>
      <c r="I19" s="21" t="inlineStr">
        <is>
          <t>—</t>
        </is>
      </c>
      <c r="J19" s="21" t="inlineStr">
        <is>
          <t>Y</t>
        </is>
      </c>
      <c r="K19" s="21" t="inlineStr">
        <is>
          <t>payroll_entries.loan_deduction</t>
        </is>
      </c>
      <c r="L19" s="21" t="inlineStr"/>
      <c r="M19" s="22" t="inlineStr"/>
      <c r="N19" s="22" t="inlineStr"/>
    </row>
    <row r="20" ht="15" customHeight="1">
      <c r="A20" s="38" t="inlineStr">
        <is>
          <t>lblPenalty</t>
        </is>
      </c>
      <c r="B20" s="7" t="inlineStr">
        <is>
          <t>lbl</t>
        </is>
      </c>
      <c r="C20" s="7" t="inlineStr">
        <is>
          <t>frPayrollData</t>
        </is>
      </c>
      <c r="D20" s="7" t="inlineStr">
        <is>
          <t>Penalty Deduction</t>
        </is>
      </c>
      <c r="E20" s="7" t="inlineStr">
        <is>
          <t>خصم الغرامة</t>
        </is>
      </c>
      <c r="F20" s="7" t="inlineStr">
        <is>
          <t>payroll_entries</t>
        </is>
      </c>
      <c r="G20" s="7" t="inlineStr">
        <is>
          <t>—</t>
        </is>
      </c>
      <c r="H20" s="7" t="inlineStr">
        <is>
          <t>SAR #,##0.00</t>
        </is>
      </c>
      <c r="I20" s="7" t="inlineStr">
        <is>
          <t>—</t>
        </is>
      </c>
      <c r="J20" s="7" t="inlineStr">
        <is>
          <t>Y</t>
        </is>
      </c>
      <c r="K20" s="7" t="inlineStr">
        <is>
          <t>payroll_entries.penalty_deduction</t>
        </is>
      </c>
      <c r="L20" s="7" t="inlineStr"/>
      <c r="M20" s="22" t="inlineStr"/>
      <c r="N20" s="22" t="inlineStr"/>
    </row>
    <row r="21" ht="15" customHeight="1">
      <c r="A21" s="38" t="inlineStr">
        <is>
          <t>lblNet</t>
        </is>
      </c>
      <c r="B21" s="21" t="inlineStr">
        <is>
          <t>lbl</t>
        </is>
      </c>
      <c r="C21" s="21" t="inlineStr">
        <is>
          <t>frPayrollData</t>
        </is>
      </c>
      <c r="D21" s="21" t="inlineStr">
        <is>
          <t>Net Pay</t>
        </is>
      </c>
      <c r="E21" s="21" t="inlineStr">
        <is>
          <t>صافي الراتب</t>
        </is>
      </c>
      <c r="F21" s="21" t="inlineStr">
        <is>
          <t>payroll_entries</t>
        </is>
      </c>
      <c r="G21" s="21" t="inlineStr">
        <is>
          <t>—</t>
        </is>
      </c>
      <c r="H21" s="21" t="inlineStr">
        <is>
          <t>SAR #,##0.00</t>
        </is>
      </c>
      <c r="I21" s="21" t="inlineStr">
        <is>
          <t>—</t>
        </is>
      </c>
      <c r="J21" s="21" t="inlineStr">
        <is>
          <t>Y</t>
        </is>
      </c>
      <c r="K21" s="21" t="inlineStr">
        <is>
          <t>payroll_entries.net_salary</t>
        </is>
      </c>
      <c r="L21" s="21" t="inlineStr"/>
      <c r="M21" s="22" t="inlineStr"/>
      <c r="N21" s="22" t="inlineStr"/>
    </row>
  </sheetData>
  <mergeCells count="6">
    <mergeCell ref="A4:N4"/>
    <mergeCell ref="A2:N2"/>
    <mergeCell ref="A7:N7"/>
    <mergeCell ref="A10:N10"/>
    <mergeCell ref="A13:N13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5" t="inlineStr">
        <is>
          <t>frmVacations  —  Vacations &amp; Leave  |  App → HR</t>
        </is>
      </c>
    </row>
    <row r="2">
      <c r="A2" s="17" t="inlineStr">
        <is>
          <t>Yellow columns = your corrections.</t>
        </is>
      </c>
    </row>
    <row r="3" ht="32" customHeight="1">
      <c r="A3" s="36" t="inlineStr">
        <is>
          <t>Control Name (VBA)</t>
        </is>
      </c>
      <c r="B3" s="36" t="inlineStr">
        <is>
          <t>Type</t>
        </is>
      </c>
      <c r="C3" s="36" t="inlineStr">
        <is>
          <t>Frame / Section</t>
        </is>
      </c>
      <c r="D3" s="36" t="inlineStr">
        <is>
          <t>Label — English</t>
        </is>
      </c>
      <c r="E3" s="36" t="inlineStr">
        <is>
          <t>Label — Arabic</t>
        </is>
      </c>
      <c r="F3" s="36" t="inlineStr">
        <is>
          <t>Data Source / Table</t>
        </is>
      </c>
      <c r="G3" s="36" t="inlineStr">
        <is>
          <t>Depends On</t>
        </is>
      </c>
      <c r="H3" s="36" t="inlineStr">
        <is>
          <t>Format / Validation</t>
        </is>
      </c>
      <c r="I3" s="36" t="inlineStr">
        <is>
          <t>Required</t>
        </is>
      </c>
      <c r="J3" s="36" t="inlineStr">
        <is>
          <t>Read-Only</t>
        </is>
      </c>
      <c r="K3" s="36" t="inlineStr">
        <is>
          <t>DB Column (current)</t>
        </is>
      </c>
      <c r="L3" s="36" t="inlineStr">
        <is>
          <t>Business Rules / Notes</t>
        </is>
      </c>
      <c r="M3" s="36" t="inlineStr">
        <is>
          <t>✏ Your Correction</t>
        </is>
      </c>
      <c r="N3" s="36" t="inlineStr">
        <is>
          <t>✏ New DB Column</t>
        </is>
      </c>
    </row>
    <row r="4" ht="17" customHeight="1">
      <c r="A4" s="37" t="inlineStr">
        <is>
          <t xml:space="preserve">  ▸  frLeaveForm  —  Add / Edit Leave Request  (modal dialog)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8" t="inlineStr">
        <is>
          <t>cboEmployee</t>
        </is>
      </c>
      <c r="B5" s="21" t="inlineStr">
        <is>
          <t>cbo</t>
        </is>
      </c>
      <c r="C5" s="21" t="inlineStr">
        <is>
          <t>frLeaveForm</t>
        </is>
      </c>
      <c r="D5" s="21" t="inlineStr">
        <is>
          <t>Employee *</t>
        </is>
      </c>
      <c r="E5" s="21" t="inlineStr">
        <is>
          <t>الموظف *</t>
        </is>
      </c>
      <c r="F5" s="21" t="inlineStr">
        <is>
          <t>employees WHERE entity_id AND is_active</t>
        </is>
      </c>
      <c r="G5" s="21" t="inlineStr">
        <is>
          <t>—</t>
        </is>
      </c>
      <c r="H5" s="21" t="inlineStr">
        <is>
          <t>full_name | UUID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employee_id</t>
        </is>
      </c>
      <c r="L5" s="21" t="inlineStr"/>
      <c r="M5" s="22" t="inlineStr"/>
      <c r="N5" s="22" t="inlineStr"/>
    </row>
    <row r="6" ht="15" customHeight="1">
      <c r="A6" s="38" t="inlineStr">
        <is>
          <t>cboLeaveType</t>
        </is>
      </c>
      <c r="B6" s="7" t="inlineStr">
        <is>
          <t>cbo</t>
        </is>
      </c>
      <c r="C6" s="7" t="inlineStr">
        <is>
          <t>frLeaveForm</t>
        </is>
      </c>
      <c r="D6" s="7" t="inlineStr">
        <is>
          <t>Leave Type *</t>
        </is>
      </c>
      <c r="E6" s="7" t="inlineStr">
        <is>
          <t>نوع الإجازة *</t>
        </is>
      </c>
      <c r="F6" s="7" t="inlineStr">
        <is>
          <t>LEAVE_TYPES hardcoded</t>
        </is>
      </c>
      <c r="G6" s="7" t="inlineStr">
        <is>
          <t>—</t>
        </is>
      </c>
      <c r="H6" s="7" t="inlineStr">
        <is>
          <t>ANNUAL|EMERGENCY|SICK|SICK_MAJOR|UNPAID|HAJJ|MATERNITY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leave_type</t>
        </is>
      </c>
      <c r="L6" s="7" t="inlineStr"/>
      <c r="M6" s="22" t="inlineStr"/>
      <c r="N6" s="22" t="inlineStr"/>
    </row>
    <row r="7" ht="15" customHeight="1">
      <c r="A7" s="38" t="inlineStr">
        <is>
          <t>txtStartDate</t>
        </is>
      </c>
      <c r="B7" s="21" t="inlineStr">
        <is>
          <t>txt</t>
        </is>
      </c>
      <c r="C7" s="21" t="inlineStr">
        <is>
          <t>frLeaveForm</t>
        </is>
      </c>
      <c r="D7" s="21" t="inlineStr">
        <is>
          <t>Start Date *</t>
        </is>
      </c>
      <c r="E7" s="21" t="inlineStr">
        <is>
          <t>تاريخ البداية *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DD/MM/YYYY | Default today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start_date</t>
        </is>
      </c>
      <c r="L7" s="21" t="inlineStr"/>
      <c r="M7" s="22" t="inlineStr"/>
      <c r="N7" s="22" t="inlineStr"/>
    </row>
    <row r="8" ht="15" customHeight="1">
      <c r="A8" s="38" t="inlineStr">
        <is>
          <t>txtEndDate</t>
        </is>
      </c>
      <c r="B8" s="7" t="inlineStr">
        <is>
          <t>txt</t>
        </is>
      </c>
      <c r="C8" s="7" t="inlineStr">
        <is>
          <t>frLeaveForm</t>
        </is>
      </c>
      <c r="D8" s="7" t="inlineStr">
        <is>
          <t>End Date *</t>
        </is>
      </c>
      <c r="E8" s="7" t="inlineStr">
        <is>
          <t>تاريخ الانتهاء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DD/MM/YYYY | ≥ start_date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end_date</t>
        </is>
      </c>
      <c r="L8" s="7" t="inlineStr"/>
      <c r="M8" s="22" t="inlineStr"/>
      <c r="N8" s="22" t="inlineStr"/>
    </row>
    <row r="9" ht="15" customHeight="1">
      <c r="A9" s="38" t="inlineStr">
        <is>
          <t>lblDays</t>
        </is>
      </c>
      <c r="B9" s="21" t="inlineStr">
        <is>
          <t>lbl</t>
        </is>
      </c>
      <c r="C9" s="21" t="inlineStr">
        <is>
          <t>frLeaveForm</t>
        </is>
      </c>
      <c r="D9" s="21" t="inlineStr">
        <is>
          <t>No. of Days (auto)</t>
        </is>
      </c>
      <c r="E9" s="21" t="inlineStr">
        <is>
          <t>عدد الأيام</t>
        </is>
      </c>
      <c r="F9" s="21">
        <f> EndDate − StartDate + 1</f>
        <v/>
      </c>
      <c r="G9" s="21" t="inlineStr">
        <is>
          <t>—</t>
        </is>
      </c>
      <c r="H9" s="21" t="inlineStr">
        <is>
          <t>Integer | read-only</t>
        </is>
      </c>
      <c r="I9" s="21" t="inlineStr">
        <is>
          <t>—</t>
        </is>
      </c>
      <c r="J9" s="21" t="inlineStr">
        <is>
          <t>Y</t>
        </is>
      </c>
      <c r="K9" s="21" t="inlineStr">
        <is>
          <t>days (computed)</t>
        </is>
      </c>
      <c r="L9" s="21" t="inlineStr">
        <is>
          <t>Auto-calculated.</t>
        </is>
      </c>
      <c r="M9" s="22" t="inlineStr"/>
      <c r="N9" s="22" t="inlineStr"/>
    </row>
    <row r="10" ht="15" customHeight="1">
      <c r="A10" s="38" t="inlineStr">
        <is>
          <t>txtNotes</t>
        </is>
      </c>
      <c r="B10" s="7" t="inlineStr">
        <is>
          <t>txt</t>
        </is>
      </c>
      <c r="C10" s="7" t="inlineStr">
        <is>
          <t>frLeaveForm</t>
        </is>
      </c>
      <c r="D10" s="7" t="inlineStr">
        <is>
          <t>Notes</t>
        </is>
      </c>
      <c r="E10" s="7" t="inlineStr">
        <is>
          <t>ملاحظات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notes</t>
        </is>
      </c>
      <c r="L10" s="7" t="inlineStr"/>
      <c r="M10" s="22" t="inlineStr"/>
      <c r="N10" s="22" t="inlineStr"/>
    </row>
    <row r="11" ht="15" customHeight="1">
      <c r="A11" s="38" t="inlineStr">
        <is>
          <t>cboStatus</t>
        </is>
      </c>
      <c r="B11" s="21" t="inlineStr">
        <is>
          <t>cbo</t>
        </is>
      </c>
      <c r="C11" s="21" t="inlineStr">
        <is>
          <t>frLeaveForm</t>
        </is>
      </c>
      <c r="D11" s="21" t="inlineStr">
        <is>
          <t>Status</t>
        </is>
      </c>
      <c r="E11" s="21" t="inlineStr">
        <is>
          <t>الحالة</t>
        </is>
      </c>
      <c r="F11" s="21" t="inlineStr">
        <is>
          <t>STATUSES hardcoded</t>
        </is>
      </c>
      <c r="G11" s="21" t="inlineStr">
        <is>
          <t>—</t>
        </is>
      </c>
      <c r="H11" s="21" t="inlineStr">
        <is>
          <t>PENDING|APPROVED|REJECTED|CANCELLED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status</t>
        </is>
      </c>
      <c r="L11" s="21" t="inlineStr">
        <is>
          <t>Default PENDING. Admin can change.</t>
        </is>
      </c>
      <c r="M11" s="22" t="inlineStr"/>
      <c r="N11" s="22" t="inlineStr"/>
    </row>
    <row r="12" ht="17" customHeight="1">
      <c r="A12" s="37" t="inlineStr">
        <is>
          <t xml:space="preserve">  ▸  frLeaveFilters  —  Filters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</row>
    <row r="13" ht="15" customHeight="1">
      <c r="A13" s="38" t="inlineStr">
        <is>
          <t>cboFilterType</t>
        </is>
      </c>
      <c r="B13" s="21" t="inlineStr">
        <is>
          <t>cbo</t>
        </is>
      </c>
      <c r="C13" s="21" t="inlineStr">
        <is>
          <t>frLeaveFilters</t>
        </is>
      </c>
      <c r="D13" s="21" t="inlineStr">
        <is>
          <t>Filter by Leave Type</t>
        </is>
      </c>
      <c r="E13" s="21" t="inlineStr">
        <is>
          <t>تصفية النوع</t>
        </is>
      </c>
      <c r="F13" s="21" t="inlineStr">
        <is>
          <t>LEAVE_TYPES</t>
        </is>
      </c>
      <c r="G13" s="21" t="inlineStr">
        <is>
          <t>—</t>
        </is>
      </c>
      <c r="H13" s="21" t="inlineStr">
        <is>
          <t>ALL + leave types</t>
        </is>
      </c>
      <c r="I13" s="21" t="inlineStr">
        <is>
          <t>—</t>
        </is>
      </c>
      <c r="J13" s="21" t="inlineStr">
        <is>
          <t>—</t>
        </is>
      </c>
      <c r="K13" s="21" t="inlineStr">
        <is>
          <t>—</t>
        </is>
      </c>
      <c r="L13" s="21" t="inlineStr"/>
      <c r="M13" s="22" t="inlineStr"/>
      <c r="N13" s="22" t="inlineStr"/>
    </row>
    <row r="14" ht="15" customHeight="1">
      <c r="A14" s="38" t="inlineStr">
        <is>
          <t>cboFilterStatus</t>
        </is>
      </c>
      <c r="B14" s="7" t="inlineStr">
        <is>
          <t>cbo</t>
        </is>
      </c>
      <c r="C14" s="7" t="inlineStr">
        <is>
          <t>frLeaveFilters</t>
        </is>
      </c>
      <c r="D14" s="7" t="inlineStr">
        <is>
          <t>Filter by Status</t>
        </is>
      </c>
      <c r="E14" s="7" t="inlineStr">
        <is>
          <t>تصفية الحالة</t>
        </is>
      </c>
      <c r="F14" s="7" t="inlineStr">
        <is>
          <t>STATUSES</t>
        </is>
      </c>
      <c r="G14" s="7" t="inlineStr">
        <is>
          <t>—</t>
        </is>
      </c>
      <c r="H14" s="7" t="inlineStr">
        <is>
          <t>ALL + statuses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/>
      <c r="M14" s="22" t="inlineStr"/>
      <c r="N14" s="22" t="inlineStr"/>
    </row>
    <row r="15" ht="15" customHeight="1">
      <c r="A15" s="38" t="inlineStr">
        <is>
          <t>txtSearch</t>
        </is>
      </c>
      <c r="B15" s="21" t="inlineStr">
        <is>
          <t>txt</t>
        </is>
      </c>
      <c r="C15" s="21" t="inlineStr">
        <is>
          <t>frLeaveFilters</t>
        </is>
      </c>
      <c r="D15" s="21" t="inlineStr">
        <is>
          <t>Search by Employee</t>
        </is>
      </c>
      <c r="E15" s="21" t="inlineStr">
        <is>
          <t>بحث بالموظف</t>
        </is>
      </c>
      <c r="F15" s="21" t="inlineStr">
        <is>
          <t>—</t>
        </is>
      </c>
      <c r="G15" s="21" t="inlineStr">
        <is>
          <t>—</t>
        </is>
      </c>
      <c r="H15" s="21" t="inlineStr">
        <is>
          <t>Free text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/>
      <c r="M15" s="22" t="inlineStr"/>
      <c r="N15" s="22" t="inlineStr"/>
    </row>
  </sheetData>
  <mergeCells count="4">
    <mergeCell ref="A12:N12"/>
    <mergeCell ref="A4:N4"/>
    <mergeCell ref="A2:N2"/>
    <mergeCell ref="A1:N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5" t="inlineStr">
        <is>
          <t>frmLoans  —  Loans / EOS / Penalties  |  App → HR  (3 tabs)</t>
        </is>
      </c>
    </row>
    <row r="2">
      <c r="A2" s="17" t="inlineStr">
        <is>
          <t>Yellow columns = your corrections.</t>
        </is>
      </c>
    </row>
    <row r="3" ht="32" customHeight="1">
      <c r="A3" s="36" t="inlineStr">
        <is>
          <t>Control Name (VBA)</t>
        </is>
      </c>
      <c r="B3" s="36" t="inlineStr">
        <is>
          <t>Type</t>
        </is>
      </c>
      <c r="C3" s="36" t="inlineStr">
        <is>
          <t>Frame / Section</t>
        </is>
      </c>
      <c r="D3" s="36" t="inlineStr">
        <is>
          <t>Label — English</t>
        </is>
      </c>
      <c r="E3" s="36" t="inlineStr">
        <is>
          <t>Label — Arabic</t>
        </is>
      </c>
      <c r="F3" s="36" t="inlineStr">
        <is>
          <t>Data Source / Table</t>
        </is>
      </c>
      <c r="G3" s="36" t="inlineStr">
        <is>
          <t>Depends On</t>
        </is>
      </c>
      <c r="H3" s="36" t="inlineStr">
        <is>
          <t>Format / Validation</t>
        </is>
      </c>
      <c r="I3" s="36" t="inlineStr">
        <is>
          <t>Required</t>
        </is>
      </c>
      <c r="J3" s="36" t="inlineStr">
        <is>
          <t>Read-Only</t>
        </is>
      </c>
      <c r="K3" s="36" t="inlineStr">
        <is>
          <t>DB Column (current)</t>
        </is>
      </c>
      <c r="L3" s="36" t="inlineStr">
        <is>
          <t>Business Rules / Notes</t>
        </is>
      </c>
      <c r="M3" s="36" t="inlineStr">
        <is>
          <t>✏ Your Correction</t>
        </is>
      </c>
      <c r="N3" s="36" t="inlineStr">
        <is>
          <t>✏ New DB Column</t>
        </is>
      </c>
    </row>
    <row r="4" ht="17" customHeight="1">
      <c r="A4" s="37" t="inlineStr">
        <is>
          <t xml:space="preserve">  ▸  frLoanForm  —  Tab 1: Loans — Add Loan  (modal)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8" t="inlineStr">
        <is>
          <t>cboEmployee</t>
        </is>
      </c>
      <c r="B5" s="21" t="inlineStr">
        <is>
          <t>cbo</t>
        </is>
      </c>
      <c r="C5" s="21" t="inlineStr">
        <is>
          <t>frLoanForm</t>
        </is>
      </c>
      <c r="D5" s="21" t="inlineStr">
        <is>
          <t>Employee *</t>
        </is>
      </c>
      <c r="E5" s="21" t="inlineStr">
        <is>
          <t>الموظف *</t>
        </is>
      </c>
      <c r="F5" s="21" t="inlineStr">
        <is>
          <t>employees WHERE entity_id</t>
        </is>
      </c>
      <c r="G5" s="21" t="inlineStr">
        <is>
          <t>—</t>
        </is>
      </c>
      <c r="H5" s="21" t="inlineStr">
        <is>
          <t>full_name | UUID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employee_loans.employee_id</t>
        </is>
      </c>
      <c r="L5" s="21" t="inlineStr"/>
      <c r="M5" s="22" t="inlineStr"/>
      <c r="N5" s="22" t="inlineStr"/>
    </row>
    <row r="6" ht="15" customHeight="1">
      <c r="A6" s="38" t="inlineStr">
        <is>
          <t>txtLoanAmount</t>
        </is>
      </c>
      <c r="B6" s="7" t="inlineStr">
        <is>
          <t>txt</t>
        </is>
      </c>
      <c r="C6" s="7" t="inlineStr">
        <is>
          <t>frLoanForm</t>
        </is>
      </c>
      <c r="D6" s="7" t="inlineStr">
        <is>
          <t>Loan Amount (SAR) *</t>
        </is>
      </c>
      <c r="E6" s="7" t="inlineStr">
        <is>
          <t>مبلغ القرض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#,##0.00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employee_loans.loan_amount</t>
        </is>
      </c>
      <c r="L6" s="7" t="inlineStr"/>
      <c r="M6" s="22" t="inlineStr"/>
      <c r="N6" s="22" t="inlineStr"/>
    </row>
    <row r="7" ht="15" customHeight="1">
      <c r="A7" s="38" t="inlineStr">
        <is>
          <t>cboTenure</t>
        </is>
      </c>
      <c r="B7" s="21" t="inlineStr">
        <is>
          <t>cbo</t>
        </is>
      </c>
      <c r="C7" s="21" t="inlineStr">
        <is>
          <t>frLoanForm</t>
        </is>
      </c>
      <c r="D7" s="21" t="inlineStr">
        <is>
          <t>Repayment Period (months) *</t>
        </is>
      </c>
      <c r="E7" s="21" t="inlineStr">
        <is>
          <t>مدة السداد *</t>
        </is>
      </c>
      <c r="F7" s="21" t="inlineStr">
        <is>
          <t>Hardcoded list (1–24)</t>
        </is>
      </c>
      <c r="G7" s="21" t="inlineStr">
        <is>
          <t>—</t>
        </is>
      </c>
      <c r="H7" s="21" t="inlineStr">
        <is>
          <t>1|2|3|6|9|12|18|24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employee_loans.tenure_months</t>
        </is>
      </c>
      <c r="L7" s="21" t="inlineStr">
        <is>
          <t>Monthly instalment = loan ÷ tenure.</t>
        </is>
      </c>
      <c r="M7" s="22" t="inlineStr"/>
      <c r="N7" s="22" t="inlineStr"/>
    </row>
    <row r="8" ht="15" customHeight="1">
      <c r="A8" s="38" t="inlineStr">
        <is>
          <t>txtStartMonth</t>
        </is>
      </c>
      <c r="B8" s="7" t="inlineStr">
        <is>
          <t>txt</t>
        </is>
      </c>
      <c r="C8" s="7" t="inlineStr">
        <is>
          <t>frLoanForm</t>
        </is>
      </c>
      <c r="D8" s="7" t="inlineStr">
        <is>
          <t>Deduction Start Month *</t>
        </is>
      </c>
      <c r="E8" s="7" t="inlineStr">
        <is>
          <t>شهر بداية الخصم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YYYY-MM format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employee_loans.start_month</t>
        </is>
      </c>
      <c r="L8" s="7" t="inlineStr"/>
      <c r="M8" s="22" t="inlineStr"/>
      <c r="N8" s="22" t="inlineStr"/>
    </row>
    <row r="9" ht="15" customHeight="1">
      <c r="A9" s="38" t="inlineStr">
        <is>
          <t>txtNotes</t>
        </is>
      </c>
      <c r="B9" s="21" t="inlineStr">
        <is>
          <t>txt</t>
        </is>
      </c>
      <c r="C9" s="21" t="inlineStr">
        <is>
          <t>frLoanForm</t>
        </is>
      </c>
      <c r="D9" s="21" t="inlineStr">
        <is>
          <t>Notes</t>
        </is>
      </c>
      <c r="E9" s="21" t="inlineStr">
        <is>
          <t>ملاحظات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Free text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employee_loans.notes</t>
        </is>
      </c>
      <c r="L9" s="21" t="inlineStr"/>
      <c r="M9" s="22" t="inlineStr"/>
      <c r="N9" s="22" t="inlineStr"/>
    </row>
    <row r="10" ht="17" customHeight="1">
      <c r="A10" s="37" t="inlineStr">
        <is>
          <t xml:space="preserve">  ▸  frEOS  —  Tab 2: EOS Calculator — End of Service Calculation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38" t="inlineStr">
        <is>
          <t>cboEOSEmployee</t>
        </is>
      </c>
      <c r="B11" s="21" t="inlineStr">
        <is>
          <t>cbo</t>
        </is>
      </c>
      <c r="C11" s="21" t="inlineStr">
        <is>
          <t>frEOS</t>
        </is>
      </c>
      <c r="D11" s="21" t="inlineStr">
        <is>
          <t>Employee *</t>
        </is>
      </c>
      <c r="E11" s="21" t="inlineStr">
        <is>
          <t>الموظف *</t>
        </is>
      </c>
      <c r="F11" s="21" t="inlineStr">
        <is>
          <t>employees WHERE entity_id</t>
        </is>
      </c>
      <c r="G11" s="21" t="inlineStr">
        <is>
          <t>—</t>
        </is>
      </c>
      <c r="H11" s="21" t="inlineStr">
        <is>
          <t>full_name | UUID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eos_calculator.employee_id</t>
        </is>
      </c>
      <c r="L11" s="21" t="inlineStr"/>
      <c r="M11" s="22" t="inlineStr"/>
      <c r="N11" s="22" t="inlineStr"/>
    </row>
    <row r="12" ht="15" customHeight="1">
      <c r="A12" s="38" t="inlineStr">
        <is>
          <t>txtBasicSalary</t>
        </is>
      </c>
      <c r="B12" s="7" t="inlineStr">
        <is>
          <t>txt</t>
        </is>
      </c>
      <c r="C12" s="7" t="inlineStr">
        <is>
          <t>frEOS</t>
        </is>
      </c>
      <c r="D12" s="7" t="inlineStr">
        <is>
          <t>Basic Salary (SAR) *</t>
        </is>
      </c>
      <c r="E12" s="7" t="inlineStr">
        <is>
          <t>الراتب الأساسي *</t>
        </is>
      </c>
      <c r="F12" s="7" t="inlineStr">
        <is>
          <t>Auto from employee or user</t>
        </is>
      </c>
      <c r="G12" s="7" t="inlineStr">
        <is>
          <t>cboEOSEmployee</t>
        </is>
      </c>
      <c r="H12" s="7" t="inlineStr">
        <is>
          <t>#,##0.00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eos_calculator.basic_salary</t>
        </is>
      </c>
      <c r="L12" s="7" t="inlineStr">
        <is>
          <t>Pull from employees.basic_salary on selection.</t>
        </is>
      </c>
      <c r="M12" s="22" t="inlineStr"/>
      <c r="N12" s="22" t="inlineStr"/>
    </row>
    <row r="13" ht="15" customHeight="1">
      <c r="A13" s="38" t="inlineStr">
        <is>
          <t>txtJoinDate</t>
        </is>
      </c>
      <c r="B13" s="21" t="inlineStr">
        <is>
          <t>txt</t>
        </is>
      </c>
      <c r="C13" s="21" t="inlineStr">
        <is>
          <t>frEOS</t>
        </is>
      </c>
      <c r="D13" s="21" t="inlineStr">
        <is>
          <t>Join Date *</t>
        </is>
      </c>
      <c r="E13" s="21" t="inlineStr">
        <is>
          <t>تاريخ التعيين *</t>
        </is>
      </c>
      <c r="F13" s="21" t="inlineStr">
        <is>
          <t>Auto from employee</t>
        </is>
      </c>
      <c r="G13" s="21" t="inlineStr">
        <is>
          <t>cboEOSEmployee</t>
        </is>
      </c>
      <c r="H13" s="21" t="inlineStr">
        <is>
          <t>DD/MM/YYYY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eos_calculator.join_date</t>
        </is>
      </c>
      <c r="L13" s="21" t="inlineStr"/>
      <c r="M13" s="22" t="inlineStr"/>
      <c r="N13" s="22" t="inlineStr"/>
    </row>
    <row r="14" ht="15" customHeight="1">
      <c r="A14" s="38" t="inlineStr">
        <is>
          <t>txtLeaveDate</t>
        </is>
      </c>
      <c r="B14" s="7" t="inlineStr">
        <is>
          <t>txt</t>
        </is>
      </c>
      <c r="C14" s="7" t="inlineStr">
        <is>
          <t>frEOS</t>
        </is>
      </c>
      <c r="D14" s="7" t="inlineStr">
        <is>
          <t>Last Working Day *</t>
        </is>
      </c>
      <c r="E14" s="7" t="inlineStr">
        <is>
          <t>آخر يوم عمل *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DD/MM/YYYY | Default today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eos_calculator.leave_date</t>
        </is>
      </c>
      <c r="L14" s="7" t="inlineStr"/>
      <c r="M14" s="22" t="inlineStr"/>
      <c r="N14" s="22" t="inlineStr"/>
    </row>
    <row r="15" ht="15" customHeight="1">
      <c r="A15" s="38" t="inlineStr">
        <is>
          <t>cboLeaveReason</t>
        </is>
      </c>
      <c r="B15" s="21" t="inlineStr">
        <is>
          <t>cbo</t>
        </is>
      </c>
      <c r="C15" s="21" t="inlineStr">
        <is>
          <t>frEOS</t>
        </is>
      </c>
      <c r="D15" s="21" t="inlineStr">
        <is>
          <t>Reason for Leaving *</t>
        </is>
      </c>
      <c r="E15" s="21" t="inlineStr">
        <is>
          <t>سبب الإنهاء *</t>
        </is>
      </c>
      <c r="F15" s="21" t="inlineStr">
        <is>
          <t>Hardcoded</t>
        </is>
      </c>
      <c r="G15" s="21" t="inlineStr">
        <is>
          <t>—</t>
        </is>
      </c>
      <c r="H15" s="21" t="inlineStr">
        <is>
          <t>RESIGNATION|TERMINATION|CONTRACT_END|RETIREMENT|DEATH|REDUNDANCY</t>
        </is>
      </c>
      <c r="I15" s="21" t="inlineStr">
        <is>
          <t>Y</t>
        </is>
      </c>
      <c r="J15" s="21" t="inlineStr">
        <is>
          <t>N</t>
        </is>
      </c>
      <c r="K15" s="21" t="inlineStr">
        <is>
          <t>eos_calculator.leave_reason</t>
        </is>
      </c>
      <c r="L15" s="21" t="inlineStr">
        <is>
          <t>Affects EOS entitlement % per Saudi Labour Law.</t>
        </is>
      </c>
      <c r="M15" s="22" t="inlineStr"/>
      <c r="N15" s="22" t="inlineStr"/>
    </row>
    <row r="16" ht="15" customHeight="1">
      <c r="A16" s="38" t="inlineStr">
        <is>
          <t>lblYearsService</t>
        </is>
      </c>
      <c r="B16" s="7" t="inlineStr">
        <is>
          <t>lbl</t>
        </is>
      </c>
      <c r="C16" s="7" t="inlineStr">
        <is>
          <t>frEOS</t>
        </is>
      </c>
      <c r="D16" s="7" t="inlineStr">
        <is>
          <t>Years of Service (auto)</t>
        </is>
      </c>
      <c r="E16" s="7" t="inlineStr">
        <is>
          <t>سنوات الخدمة</t>
        </is>
      </c>
      <c r="F16" s="7" t="inlineStr">
        <is>
          <t>Computed</t>
        </is>
      </c>
      <c r="G16" s="7" t="inlineStr">
        <is>
          <t>—</t>
        </is>
      </c>
      <c r="H16" s="7" t="inlineStr">
        <is>
          <t>#,##0.00 | read-only</t>
        </is>
      </c>
      <c r="I16" s="7" t="inlineStr">
        <is>
          <t>—</t>
        </is>
      </c>
      <c r="J16" s="7" t="inlineStr">
        <is>
          <t>Y</t>
        </is>
      </c>
      <c r="K16" s="7" t="inlineStr">
        <is>
          <t>eos_calculator.years_service (computed)</t>
        </is>
      </c>
      <c r="L16" s="7" t="inlineStr"/>
      <c r="M16" s="22" t="inlineStr"/>
      <c r="N16" s="22" t="inlineStr"/>
    </row>
    <row r="17" ht="15" customHeight="1">
      <c r="A17" s="38" t="inlineStr">
        <is>
          <t>lblEOSAmount</t>
        </is>
      </c>
      <c r="B17" s="21" t="inlineStr">
        <is>
          <t>lbl</t>
        </is>
      </c>
      <c r="C17" s="21" t="inlineStr">
        <is>
          <t>frEOS</t>
        </is>
      </c>
      <c r="D17" s="21" t="inlineStr">
        <is>
          <t>EOS Entitlement (SAR) (auto)</t>
        </is>
      </c>
      <c r="E17" s="21" t="inlineStr">
        <is>
          <t>مكافأة نهاية الخدمة</t>
        </is>
      </c>
      <c r="F17" s="21" t="inlineStr">
        <is>
          <t>Computed per law</t>
        </is>
      </c>
      <c r="G17" s="21" t="inlineStr">
        <is>
          <t>—</t>
        </is>
      </c>
      <c r="H17" s="21" t="inlineStr">
        <is>
          <t>SAR #,##0.00 | read-only</t>
        </is>
      </c>
      <c r="I17" s="21" t="inlineStr">
        <is>
          <t>—</t>
        </is>
      </c>
      <c r="J17" s="21" t="inlineStr">
        <is>
          <t>Y</t>
        </is>
      </c>
      <c r="K17" s="21" t="inlineStr">
        <is>
          <t>eos_calculator.eos_amount (computed)</t>
        </is>
      </c>
      <c r="L17" s="21" t="inlineStr">
        <is>
          <t>Saudi Labour Law: &lt;5yr=½ month/yr, &gt;5yr=1 month/yr.</t>
        </is>
      </c>
      <c r="M17" s="22" t="inlineStr"/>
      <c r="N17" s="22" t="inlineStr"/>
    </row>
    <row r="18" ht="17" customHeight="1">
      <c r="A18" s="37" t="inlineStr">
        <is>
          <t xml:space="preserve">  ▸  frPenalty  —  Tab 3: Penalties — Add Penalty  (modal)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 t="n"/>
    </row>
    <row r="19" ht="15" customHeight="1">
      <c r="A19" s="38" t="inlineStr">
        <is>
          <t>cboPenaltyEmployee</t>
        </is>
      </c>
      <c r="B19" s="21" t="inlineStr">
        <is>
          <t>cbo</t>
        </is>
      </c>
      <c r="C19" s="21" t="inlineStr">
        <is>
          <t>frPenalty</t>
        </is>
      </c>
      <c r="D19" s="21" t="inlineStr">
        <is>
          <t>Employee *</t>
        </is>
      </c>
      <c r="E19" s="21" t="inlineStr">
        <is>
          <t>الموظف *</t>
        </is>
      </c>
      <c r="F19" s="21" t="inlineStr">
        <is>
          <t>employees WHERE entity_id</t>
        </is>
      </c>
      <c r="G19" s="21" t="inlineStr">
        <is>
          <t>—</t>
        </is>
      </c>
      <c r="H19" s="21" t="inlineStr">
        <is>
          <t>full_name | UUID</t>
        </is>
      </c>
      <c r="I19" s="21" t="inlineStr">
        <is>
          <t>Y</t>
        </is>
      </c>
      <c r="J19" s="21" t="inlineStr">
        <is>
          <t>N</t>
        </is>
      </c>
      <c r="K19" s="21" t="inlineStr">
        <is>
          <t>employee_penalties.employee_id</t>
        </is>
      </c>
      <c r="L19" s="21" t="inlineStr"/>
      <c r="M19" s="22" t="inlineStr"/>
      <c r="N19" s="22" t="inlineStr"/>
    </row>
    <row r="20" ht="15" customHeight="1">
      <c r="A20" s="38" t="inlineStr">
        <is>
          <t>cboPenaltyType</t>
        </is>
      </c>
      <c r="B20" s="7" t="inlineStr">
        <is>
          <t>cbo</t>
        </is>
      </c>
      <c r="C20" s="7" t="inlineStr">
        <is>
          <t>frPenalty</t>
        </is>
      </c>
      <c r="D20" s="7" t="inlineStr">
        <is>
          <t>Penalty Type *</t>
        </is>
      </c>
      <c r="E20" s="7" t="inlineStr">
        <is>
          <t>نوع الغرامة *</t>
        </is>
      </c>
      <c r="F20" s="7" t="inlineStr">
        <is>
          <t>Hardcoded</t>
        </is>
      </c>
      <c r="G20" s="7" t="inlineStr">
        <is>
          <t>—</t>
        </is>
      </c>
      <c r="H20" s="7" t="inlineStr">
        <is>
          <t>EMPLOYEE_BORNE|COMPANY_BORNE</t>
        </is>
      </c>
      <c r="I20" s="7" t="inlineStr">
        <is>
          <t>Y</t>
        </is>
      </c>
      <c r="J20" s="7" t="inlineStr">
        <is>
          <t>N</t>
        </is>
      </c>
      <c r="K20" s="7" t="inlineStr">
        <is>
          <t>employee_penalties.penalty_type</t>
        </is>
      </c>
      <c r="L20" s="7" t="inlineStr">
        <is>
          <t>EMPLOYEE_BORNE → deducted from salary. COMPANY_BORNE → expense.</t>
        </is>
      </c>
      <c r="M20" s="22" t="inlineStr"/>
      <c r="N20" s="22" t="inlineStr"/>
    </row>
    <row r="21" ht="15" customHeight="1">
      <c r="A21" s="38" t="inlineStr">
        <is>
          <t>txtOffence</t>
        </is>
      </c>
      <c r="B21" s="21" t="inlineStr">
        <is>
          <t>txt</t>
        </is>
      </c>
      <c r="C21" s="21" t="inlineStr">
        <is>
          <t>frPenalty</t>
        </is>
      </c>
      <c r="D21" s="21" t="inlineStr">
        <is>
          <t>Offence / Reason *</t>
        </is>
      </c>
      <c r="E21" s="21" t="inlineStr">
        <is>
          <t>سبب الغرامة *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Free text</t>
        </is>
      </c>
      <c r="I21" s="21" t="inlineStr">
        <is>
          <t>Y</t>
        </is>
      </c>
      <c r="J21" s="21" t="inlineStr">
        <is>
          <t>N</t>
        </is>
      </c>
      <c r="K21" s="21" t="inlineStr">
        <is>
          <t>employee_penalties.offence</t>
        </is>
      </c>
      <c r="L21" s="21" t="inlineStr"/>
      <c r="M21" s="22" t="inlineStr"/>
      <c r="N21" s="22" t="inlineStr"/>
    </row>
    <row r="22" ht="15" customHeight="1">
      <c r="A22" s="38" t="inlineStr">
        <is>
          <t>txtPenaltyAmount</t>
        </is>
      </c>
      <c r="B22" s="7" t="inlineStr">
        <is>
          <t>txt</t>
        </is>
      </c>
      <c r="C22" s="7" t="inlineStr">
        <is>
          <t>frPenalty</t>
        </is>
      </c>
      <c r="D22" s="7" t="inlineStr">
        <is>
          <t>Penalty Amount (SAR) *</t>
        </is>
      </c>
      <c r="E22" s="7" t="inlineStr">
        <is>
          <t>مبلغ الغرامة *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#,##0.00</t>
        </is>
      </c>
      <c r="I22" s="7" t="inlineStr">
        <is>
          <t>Y</t>
        </is>
      </c>
      <c r="J22" s="7" t="inlineStr">
        <is>
          <t>N</t>
        </is>
      </c>
      <c r="K22" s="7" t="inlineStr">
        <is>
          <t>employee_penalties.amount</t>
        </is>
      </c>
      <c r="L22" s="7" t="inlineStr"/>
      <c r="M22" s="22" t="inlineStr"/>
      <c r="N22" s="22" t="inlineStr"/>
    </row>
    <row r="23" ht="15" customHeight="1">
      <c r="A23" s="38" t="inlineStr">
        <is>
          <t>txtDeductionMonth</t>
        </is>
      </c>
      <c r="B23" s="21" t="inlineStr">
        <is>
          <t>txt</t>
        </is>
      </c>
      <c r="C23" s="21" t="inlineStr">
        <is>
          <t>frPenalty</t>
        </is>
      </c>
      <c r="D23" s="21" t="inlineStr">
        <is>
          <t>Deduction Month *</t>
        </is>
      </c>
      <c r="E23" s="21" t="inlineStr">
        <is>
          <t>شهر الخصم *</t>
        </is>
      </c>
      <c r="F23" s="21" t="inlineStr">
        <is>
          <t>User</t>
        </is>
      </c>
      <c r="G23" s="21" t="inlineStr">
        <is>
          <t>—</t>
        </is>
      </c>
      <c r="H23" s="21" t="inlineStr">
        <is>
          <t>YYYY-MM</t>
        </is>
      </c>
      <c r="I23" s="21" t="inlineStr">
        <is>
          <t>Y</t>
        </is>
      </c>
      <c r="J23" s="21" t="inlineStr">
        <is>
          <t>N</t>
        </is>
      </c>
      <c r="K23" s="21" t="inlineStr">
        <is>
          <t>employee_penalties.deduction_month</t>
        </is>
      </c>
      <c r="L23" s="21" t="inlineStr"/>
      <c r="M23" s="22" t="inlineStr"/>
      <c r="N23" s="22" t="inlineStr"/>
    </row>
    <row r="24" ht="15" customHeight="1">
      <c r="A24" s="38" t="inlineStr">
        <is>
          <t>txtPenaltyNotes</t>
        </is>
      </c>
      <c r="B24" s="7" t="inlineStr">
        <is>
          <t>txt</t>
        </is>
      </c>
      <c r="C24" s="7" t="inlineStr">
        <is>
          <t>frPenalty</t>
        </is>
      </c>
      <c r="D24" s="7" t="inlineStr">
        <is>
          <t>Notes</t>
        </is>
      </c>
      <c r="E24" s="7" t="inlineStr">
        <is>
          <t>ملاحظات</t>
        </is>
      </c>
      <c r="F24" s="7" t="inlineStr">
        <is>
          <t>User</t>
        </is>
      </c>
      <c r="G24" s="7" t="inlineStr">
        <is>
          <t>—</t>
        </is>
      </c>
      <c r="H24" s="7" t="inlineStr">
        <is>
          <t>Free text</t>
        </is>
      </c>
      <c r="I24" s="7" t="inlineStr">
        <is>
          <t>N</t>
        </is>
      </c>
      <c r="J24" s="7" t="inlineStr">
        <is>
          <t>N</t>
        </is>
      </c>
      <c r="K24" s="7" t="inlineStr">
        <is>
          <t>employee_penalties.notes</t>
        </is>
      </c>
      <c r="L24" s="7" t="inlineStr"/>
      <c r="M24" s="22" t="inlineStr"/>
      <c r="N24" s="22" t="inlineStr"/>
    </row>
  </sheetData>
  <mergeCells count="5">
    <mergeCell ref="A18:N18"/>
    <mergeCell ref="A4:N4"/>
    <mergeCell ref="A2:N2"/>
    <mergeCell ref="A10:N10"/>
    <mergeCell ref="A1:N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5" t="inlineStr">
        <is>
          <t>frmStaffActions  —  Staff Action Records (SAR)  |  App → HR</t>
        </is>
      </c>
    </row>
    <row r="2">
      <c r="A2" s="17" t="inlineStr">
        <is>
          <t>Yellow columns = your corrections.</t>
        </is>
      </c>
    </row>
    <row r="3" ht="32" customHeight="1">
      <c r="A3" s="36" t="inlineStr">
        <is>
          <t>Control Name (VBA)</t>
        </is>
      </c>
      <c r="B3" s="36" t="inlineStr">
        <is>
          <t>Type</t>
        </is>
      </c>
      <c r="C3" s="36" t="inlineStr">
        <is>
          <t>Frame / Section</t>
        </is>
      </c>
      <c r="D3" s="36" t="inlineStr">
        <is>
          <t>Label — English</t>
        </is>
      </c>
      <c r="E3" s="36" t="inlineStr">
        <is>
          <t>Label — Arabic</t>
        </is>
      </c>
      <c r="F3" s="36" t="inlineStr">
        <is>
          <t>Data Source / Table</t>
        </is>
      </c>
      <c r="G3" s="36" t="inlineStr">
        <is>
          <t>Depends On</t>
        </is>
      </c>
      <c r="H3" s="36" t="inlineStr">
        <is>
          <t>Format / Validation</t>
        </is>
      </c>
      <c r="I3" s="36" t="inlineStr">
        <is>
          <t>Required</t>
        </is>
      </c>
      <c r="J3" s="36" t="inlineStr">
        <is>
          <t>Read-Only</t>
        </is>
      </c>
      <c r="K3" s="36" t="inlineStr">
        <is>
          <t>DB Column (current)</t>
        </is>
      </c>
      <c r="L3" s="36" t="inlineStr">
        <is>
          <t>Business Rules / Notes</t>
        </is>
      </c>
      <c r="M3" s="36" t="inlineStr">
        <is>
          <t>✏ Your Correction</t>
        </is>
      </c>
      <c r="N3" s="36" t="inlineStr">
        <is>
          <t>✏ New DB Column</t>
        </is>
      </c>
    </row>
    <row r="4" ht="17" customHeight="1">
      <c r="A4" s="37" t="inlineStr">
        <is>
          <t xml:space="preserve">  ▸  frSARForm  —  Add Staff Action Record  (inline form)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38" t="inlineStr">
        <is>
          <t>cboEmployee</t>
        </is>
      </c>
      <c r="B5" s="21" t="inlineStr">
        <is>
          <t>cbo</t>
        </is>
      </c>
      <c r="C5" s="21" t="inlineStr">
        <is>
          <t>frSARForm</t>
        </is>
      </c>
      <c r="D5" s="21" t="inlineStr">
        <is>
          <t>Employee *</t>
        </is>
      </c>
      <c r="E5" s="21" t="inlineStr">
        <is>
          <t>الموظف *</t>
        </is>
      </c>
      <c r="F5" s="21" t="inlineStr">
        <is>
          <t>employees WHERE entity_id (filtered to user's dept for DH)</t>
        </is>
      </c>
      <c r="G5" s="21" t="inlineStr">
        <is>
          <t>—</t>
        </is>
      </c>
      <c r="H5" s="21" t="inlineStr">
        <is>
          <t>full_name | UUID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staff_action_records.employee_id</t>
        </is>
      </c>
      <c r="L5" s="21" t="inlineStr">
        <is>
          <t>DH sees only their dept's employees.</t>
        </is>
      </c>
      <c r="M5" s="22" t="inlineStr"/>
      <c r="N5" s="22" t="inlineStr"/>
    </row>
    <row r="6" ht="15" customHeight="1">
      <c r="A6" s="38" t="inlineStr">
        <is>
          <t>cboActionType</t>
        </is>
      </c>
      <c r="B6" s="7" t="inlineStr">
        <is>
          <t>cbo</t>
        </is>
      </c>
      <c r="C6" s="7" t="inlineStr">
        <is>
          <t>frSARForm</t>
        </is>
      </c>
      <c r="D6" s="7" t="inlineStr">
        <is>
          <t>Action Type *</t>
        </is>
      </c>
      <c r="E6" s="7" t="inlineStr">
        <is>
          <t>نوع الإجراء *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RELEASE|TRANSFER|CONTRACT_RENEWAL|PROMOTION|DEMOTION|WARNING|TERMINATION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staff_action_records.action_type</t>
        </is>
      </c>
      <c r="L6" s="7" t="inlineStr"/>
      <c r="M6" s="22" t="inlineStr"/>
      <c r="N6" s="22" t="inlineStr"/>
    </row>
    <row r="7" ht="15" customHeight="1">
      <c r="A7" s="38" t="inlineStr">
        <is>
          <t>txtNoticeGivenDate</t>
        </is>
      </c>
      <c r="B7" s="21" t="inlineStr">
        <is>
          <t>txt</t>
        </is>
      </c>
      <c r="C7" s="21" t="inlineStr">
        <is>
          <t>frSARForm</t>
        </is>
      </c>
      <c r="D7" s="21" t="inlineStr">
        <is>
          <t>Notice Given Date *</t>
        </is>
      </c>
      <c r="E7" s="21" t="inlineStr">
        <is>
          <t>تاريخ إشعار الإنهاء *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DD/MM/YYYY | Default today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staff_action_records.notice_given_date</t>
        </is>
      </c>
      <c r="L7" s="21" t="inlineStr"/>
      <c r="M7" s="22" t="inlineStr"/>
      <c r="N7" s="22" t="inlineStr"/>
    </row>
    <row r="8" ht="15" customHeight="1">
      <c r="A8" s="38" t="inlineStr">
        <is>
          <t>txtLastWorkingDay</t>
        </is>
      </c>
      <c r="B8" s="7" t="inlineStr">
        <is>
          <t>txt</t>
        </is>
      </c>
      <c r="C8" s="7" t="inlineStr">
        <is>
          <t>frSARForm</t>
        </is>
      </c>
      <c r="D8" s="7" t="inlineStr">
        <is>
          <t>Last Working Day</t>
        </is>
      </c>
      <c r="E8" s="7" t="inlineStr">
        <is>
          <t>آخر يوم عمل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DD/MM/YYYY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staff_action_records.last_working_day</t>
        </is>
      </c>
      <c r="L8" s="7" t="inlineStr"/>
      <c r="M8" s="22" t="inlineStr"/>
      <c r="N8" s="22" t="inlineStr"/>
    </row>
    <row r="9" ht="15" customHeight="1">
      <c r="A9" s="38" t="inlineStr">
        <is>
          <t>txtHoldMonth</t>
        </is>
      </c>
      <c r="B9" s="21" t="inlineStr">
        <is>
          <t>txt</t>
        </is>
      </c>
      <c r="C9" s="21" t="inlineStr">
        <is>
          <t>frSARForm</t>
        </is>
      </c>
      <c r="D9" s="21" t="inlineStr">
        <is>
          <t>Hold Salary Month</t>
        </is>
      </c>
      <c r="E9" s="21" t="inlineStr">
        <is>
          <t>شهر تجميد الراتب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YYYY-MM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staff_action_records.hold_month</t>
        </is>
      </c>
      <c r="L9" s="21" t="inlineStr">
        <is>
          <t>Which payroll month to freeze salary.</t>
        </is>
      </c>
      <c r="M9" s="22" t="inlineStr"/>
      <c r="N9" s="22" t="inlineStr"/>
    </row>
    <row r="10" ht="15" customHeight="1">
      <c r="A10" s="38" t="inlineStr">
        <is>
          <t>cboNoticePeriod</t>
        </is>
      </c>
      <c r="B10" s="7" t="inlineStr">
        <is>
          <t>cbo</t>
        </is>
      </c>
      <c r="C10" s="7" t="inlineStr">
        <is>
          <t>frSARForm</t>
        </is>
      </c>
      <c r="D10" s="7" t="inlineStr">
        <is>
          <t>Notice Period</t>
        </is>
      </c>
      <c r="E10" s="7" t="inlineStr">
        <is>
          <t>فترة الإنذار</t>
        </is>
      </c>
      <c r="F10" s="7" t="inlineStr">
        <is>
          <t>Hardcoded</t>
        </is>
      </c>
      <c r="G10" s="7" t="inlineStr">
        <is>
          <t>—</t>
        </is>
      </c>
      <c r="H10" s="7" t="inlineStr">
        <is>
          <t>IMMEDIATE|1_MONTH|2_MONTHS|3_MONTHS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staff_action_records.notice_period</t>
        </is>
      </c>
      <c r="L10" s="7" t="inlineStr"/>
      <c r="M10" s="22" t="inlineStr"/>
      <c r="N10" s="22" t="inlineStr"/>
    </row>
    <row r="11" ht="15" customHeight="1">
      <c r="A11" s="38" t="inlineStr">
        <is>
          <t>cboTransferDept</t>
        </is>
      </c>
      <c r="B11" s="21" t="inlineStr">
        <is>
          <t>cbo</t>
        </is>
      </c>
      <c r="C11" s="21" t="inlineStr">
        <is>
          <t>frSARForm</t>
        </is>
      </c>
      <c r="D11" s="21" t="inlineStr">
        <is>
          <t>Transfer To Department</t>
        </is>
      </c>
      <c r="E11" s="21" t="inlineStr">
        <is>
          <t>النقل إلى قسم</t>
        </is>
      </c>
      <c r="F11" s="21" t="inlineStr">
        <is>
          <t>departments WHERE entity_id</t>
        </is>
      </c>
      <c r="G11" s="21" t="inlineStr">
        <is>
          <t>—</t>
        </is>
      </c>
      <c r="H11" s="21" t="inlineStr">
        <is>
          <t>dept_code | UUID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staff_action_records.transfer_to_dept_id</t>
        </is>
      </c>
      <c r="L11" s="21" t="inlineStr">
        <is>
          <t>Visible only when action_type = TRANSFER.</t>
        </is>
      </c>
      <c r="M11" s="22" t="inlineStr"/>
      <c r="N11" s="22" t="inlineStr"/>
    </row>
    <row r="12" ht="15" customHeight="1">
      <c r="A12" s="38" t="inlineStr">
        <is>
          <t>txtNewContractEnd</t>
        </is>
      </c>
      <c r="B12" s="7" t="inlineStr">
        <is>
          <t>txt</t>
        </is>
      </c>
      <c r="C12" s="7" t="inlineStr">
        <is>
          <t>frSARForm</t>
        </is>
      </c>
      <c r="D12" s="7" t="inlineStr">
        <is>
          <t>New Contract End Date</t>
        </is>
      </c>
      <c r="E12" s="7" t="inlineStr">
        <is>
          <t>تاريخ انتهاء العقد الجديد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DD/MM/YYYY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staff_action_records.new_contract_end</t>
        </is>
      </c>
      <c r="L12" s="7" t="inlineStr">
        <is>
          <t>Visible for CONTRACT_RENEWAL.</t>
        </is>
      </c>
      <c r="M12" s="22" t="inlineStr"/>
      <c r="N12" s="22" t="inlineStr"/>
    </row>
    <row r="13" ht="15" customHeight="1">
      <c r="A13" s="38" t="inlineStr">
        <is>
          <t>txtReason</t>
        </is>
      </c>
      <c r="B13" s="21" t="inlineStr">
        <is>
          <t>txt</t>
        </is>
      </c>
      <c r="C13" s="21" t="inlineStr">
        <is>
          <t>frSARForm</t>
        </is>
      </c>
      <c r="D13" s="21" t="inlineStr">
        <is>
          <t>Reason</t>
        </is>
      </c>
      <c r="E13" s="21" t="inlineStr">
        <is>
          <t>السبب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staff_action_records.reason</t>
        </is>
      </c>
      <c r="L13" s="21" t="inlineStr"/>
      <c r="M13" s="22" t="inlineStr"/>
      <c r="N13" s="22" t="inlineStr"/>
    </row>
    <row r="14" ht="15" customHeight="1">
      <c r="A14" s="38" t="inlineStr">
        <is>
          <t>txtNotes</t>
        </is>
      </c>
      <c r="B14" s="7" t="inlineStr">
        <is>
          <t>txt</t>
        </is>
      </c>
      <c r="C14" s="7" t="inlineStr">
        <is>
          <t>frSARForm</t>
        </is>
      </c>
      <c r="D14" s="7" t="inlineStr">
        <is>
          <t>Notes</t>
        </is>
      </c>
      <c r="E14" s="7" t="inlineStr">
        <is>
          <t>ملاحظات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staff_action_records.notes</t>
        </is>
      </c>
      <c r="L14" s="7" t="inlineStr"/>
      <c r="M14" s="22" t="inlineStr"/>
      <c r="N14" s="22" t="inlineStr"/>
    </row>
    <row r="15" ht="15" customHeight="1">
      <c r="A15" s="38" t="inlineStr">
        <is>
          <t>cmdSubmitSAR</t>
        </is>
      </c>
      <c r="B15" s="21" t="inlineStr">
        <is>
          <t>cmd</t>
        </is>
      </c>
      <c r="C15" s="21" t="inlineStr">
        <is>
          <t>frSARForm</t>
        </is>
      </c>
      <c r="D15" s="21" t="inlineStr">
        <is>
          <t>Submit Action</t>
        </is>
      </c>
      <c r="E15" s="21" t="inlineStr">
        <is>
          <t>إرسال الإجراء</t>
        </is>
      </c>
      <c r="F15" s="21" t="inlineStr">
        <is>
          <t>—</t>
        </is>
      </c>
      <c r="G15" s="21" t="inlineStr">
        <is>
          <t>—</t>
        </is>
      </c>
      <c r="H15" s="21" t="inlineStr">
        <is>
          <t>Primary button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/>
      <c r="M15" s="22" t="inlineStr"/>
      <c r="N15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frmInvoices  —  Sales Invoices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frInvHeader  —  Invoice Header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txtInvDate</t>
        </is>
      </c>
      <c r="B5" s="21" t="inlineStr">
        <is>
          <t>txt</t>
        </is>
      </c>
      <c r="C5" s="21" t="inlineStr">
        <is>
          <t>frInvHeader</t>
        </is>
      </c>
      <c r="D5" s="21" t="inlineStr">
        <is>
          <t>Invoice Date *</t>
        </is>
      </c>
      <c r="E5" s="21" t="inlineStr">
        <is>
          <t>تاريخ الفاتورة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DD/MM/YYYY | Default today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invoices.invoice_date</t>
        </is>
      </c>
      <c r="L5" s="21" t="inlineStr"/>
      <c r="M5" s="22" t="inlineStr"/>
      <c r="N5" s="22" t="inlineStr"/>
    </row>
    <row r="6" ht="15" customHeight="1">
      <c r="A6" s="42" t="inlineStr">
        <is>
          <t>cboCustId</t>
        </is>
      </c>
      <c r="B6" s="7" t="inlineStr">
        <is>
          <t>cbo</t>
        </is>
      </c>
      <c r="C6" s="7" t="inlineStr">
        <is>
          <t>frInvHeader</t>
        </is>
      </c>
      <c r="D6" s="7" t="inlineStr">
        <is>
          <t>Customer *</t>
        </is>
      </c>
      <c r="E6" s="7" t="inlineStr">
        <is>
          <t>العميل *</t>
        </is>
      </c>
      <c r="F6" s="7" t="inlineStr">
        <is>
          <t>customers WHERE entity_id</t>
        </is>
      </c>
      <c r="G6" s="7" t="inlineStr">
        <is>
          <t>—</t>
        </is>
      </c>
      <c r="H6" s="7" t="inlineStr">
        <is>
          <t>name_en | UUID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invoices.customer_id</t>
        </is>
      </c>
      <c r="L6" s="7" t="inlineStr"/>
      <c r="M6" s="22" t="inlineStr"/>
      <c r="N6" s="22" t="inlineStr"/>
    </row>
    <row r="7" ht="15" customHeight="1">
      <c r="A7" s="42" t="inlineStr">
        <is>
          <t>cboInvType</t>
        </is>
      </c>
      <c r="B7" s="21" t="inlineStr">
        <is>
          <t>cbo</t>
        </is>
      </c>
      <c r="C7" s="21" t="inlineStr">
        <is>
          <t>frInvHeader</t>
        </is>
      </c>
      <c r="D7" s="21" t="inlineStr">
        <is>
          <t>Invoice Type *</t>
        </is>
      </c>
      <c r="E7" s="21" t="inlineStr">
        <is>
          <t>نوع الفاتورة *</t>
        </is>
      </c>
      <c r="F7" s="21" t="inlineStr">
        <is>
          <t>Hardcoded</t>
        </is>
      </c>
      <c r="G7" s="21" t="inlineStr">
        <is>
          <t>—</t>
        </is>
      </c>
      <c r="H7" s="21" t="inlineStr">
        <is>
          <t>TAX|PROFORMA|CREDIT_NOTE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invoices.invoice_type</t>
        </is>
      </c>
      <c r="L7" s="21" t="inlineStr">
        <is>
          <t>Default TAX. Credit Note reverses a prior invoice.</t>
        </is>
      </c>
      <c r="M7" s="22" t="inlineStr"/>
      <c r="N7" s="22" t="inlineStr"/>
    </row>
    <row r="8" ht="15" customHeight="1">
      <c r="A8" s="42" t="inlineStr">
        <is>
          <t>txtInvNo</t>
        </is>
      </c>
      <c r="B8" s="7" t="inlineStr">
        <is>
          <t>txt</t>
        </is>
      </c>
      <c r="C8" s="7" t="inlineStr">
        <is>
          <t>frInvHeader</t>
        </is>
      </c>
      <c r="D8" s="7" t="inlineStr">
        <is>
          <t>Invoice No (auto)</t>
        </is>
      </c>
      <c r="E8" s="7" t="inlineStr">
        <is>
          <t>رقم الفاتورة</t>
        </is>
      </c>
      <c r="F8" s="7" t="inlineStr">
        <is>
          <t>System auto</t>
        </is>
      </c>
      <c r="G8" s="7" t="inlineStr">
        <is>
          <t>—</t>
        </is>
      </c>
      <c r="H8" s="7" t="inlineStr">
        <is>
          <t>Read-only. Prefix from settings.invoice_prefix e.g. INV-0001</t>
        </is>
      </c>
      <c r="I8" s="7" t="inlineStr">
        <is>
          <t>—</t>
        </is>
      </c>
      <c r="J8" s="7" t="inlineStr">
        <is>
          <t>Y</t>
        </is>
      </c>
      <c r="K8" s="7" t="inlineStr">
        <is>
          <t>invoices.invoice_number</t>
        </is>
      </c>
      <c r="L8" s="7" t="inlineStr">
        <is>
          <t>Auto-generated on save.</t>
        </is>
      </c>
      <c r="M8" s="22" t="inlineStr"/>
      <c r="N8" s="22" t="inlineStr"/>
    </row>
    <row r="9" ht="15" customHeight="1">
      <c r="A9" s="42" t="inlineStr">
        <is>
          <t>txtDesc</t>
        </is>
      </c>
      <c r="B9" s="21" t="inlineStr">
        <is>
          <t>txt</t>
        </is>
      </c>
      <c r="C9" s="21" t="inlineStr">
        <is>
          <t>frInvHeader</t>
        </is>
      </c>
      <c r="D9" s="21" t="inlineStr">
        <is>
          <t>Description</t>
        </is>
      </c>
      <c r="E9" s="21" t="inlineStr">
        <is>
          <t>الوصف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Free text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invoices.description</t>
        </is>
      </c>
      <c r="L9" s="21" t="inlineStr"/>
      <c r="M9" s="22" t="inlineStr"/>
      <c r="N9" s="22" t="inlineStr"/>
    </row>
    <row r="10" ht="15" customHeight="1">
      <c r="A10" s="42" t="inlineStr">
        <is>
          <t>txtNotes</t>
        </is>
      </c>
      <c r="B10" s="7" t="inlineStr">
        <is>
          <t>txt</t>
        </is>
      </c>
      <c r="C10" s="7" t="inlineStr">
        <is>
          <t>frInvHeader</t>
        </is>
      </c>
      <c r="D10" s="7" t="inlineStr">
        <is>
          <t>Notes</t>
        </is>
      </c>
      <c r="E10" s="7" t="inlineStr">
        <is>
          <t>ملاحظات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invoices.notes</t>
        </is>
      </c>
      <c r="L10" s="7" t="inlineStr"/>
      <c r="M10" s="22" t="inlineStr"/>
      <c r="N10" s="22" t="inlineStr"/>
    </row>
    <row r="11" ht="17" customHeight="1">
      <c r="A11" s="41" t="inlineStr">
        <is>
          <t xml:space="preserve">  ▸  frInvLines  —  Invoice Lines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4" t="n"/>
    </row>
    <row r="12" ht="15" customHeight="1">
      <c r="A12" s="42" t="inlineStr">
        <is>
          <t>txtLineDesc</t>
        </is>
      </c>
      <c r="B12" s="7" t="inlineStr">
        <is>
          <t>txt</t>
        </is>
      </c>
      <c r="C12" s="7" t="inlineStr">
        <is>
          <t>frInvLines</t>
        </is>
      </c>
      <c r="D12" s="7" t="inlineStr">
        <is>
          <t>Line Description *</t>
        </is>
      </c>
      <c r="E12" s="7" t="inlineStr">
        <is>
          <t>وصف البند *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 per line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invoice_lines.description</t>
        </is>
      </c>
      <c r="L12" s="7" t="inlineStr"/>
      <c r="M12" s="22" t="inlineStr"/>
      <c r="N12" s="22" t="inlineStr"/>
    </row>
    <row r="13" ht="15" customHeight="1">
      <c r="A13" s="42" t="inlineStr">
        <is>
          <t>txtQty</t>
        </is>
      </c>
      <c r="B13" s="21" t="inlineStr">
        <is>
          <t>txt</t>
        </is>
      </c>
      <c r="C13" s="21" t="inlineStr">
        <is>
          <t>frInvLines</t>
        </is>
      </c>
      <c r="D13" s="21" t="inlineStr">
        <is>
          <t>Quantity</t>
        </is>
      </c>
      <c r="E13" s="21" t="inlineStr">
        <is>
          <t>الكمية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#,##0.000 | Default 1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invoice_lines.quantity</t>
        </is>
      </c>
      <c r="L13" s="21" t="inlineStr"/>
      <c r="M13" s="22" t="inlineStr"/>
      <c r="N13" s="22" t="inlineStr"/>
    </row>
    <row r="14" ht="15" customHeight="1">
      <c r="A14" s="42" t="inlineStr">
        <is>
          <t>txtUnitPrice</t>
        </is>
      </c>
      <c r="B14" s="7" t="inlineStr">
        <is>
          <t>txt</t>
        </is>
      </c>
      <c r="C14" s="7" t="inlineStr">
        <is>
          <t>frInvLines</t>
        </is>
      </c>
      <c r="D14" s="7" t="inlineStr">
        <is>
          <t>Unit Price (SAR) *</t>
        </is>
      </c>
      <c r="E14" s="7" t="inlineStr">
        <is>
          <t>سعر الوحدة *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#,##0.00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invoice_lines.unit_price</t>
        </is>
      </c>
      <c r="L14" s="7" t="inlineStr"/>
      <c r="M14" s="22" t="inlineStr"/>
      <c r="N14" s="22" t="inlineStr"/>
    </row>
    <row r="15" ht="15" customHeight="1">
      <c r="A15" s="42" t="inlineStr">
        <is>
          <t>lblLineTotal</t>
        </is>
      </c>
      <c r="B15" s="21" t="inlineStr">
        <is>
          <t>lbl</t>
        </is>
      </c>
      <c r="C15" s="21" t="inlineStr">
        <is>
          <t>frInvLines</t>
        </is>
      </c>
      <c r="D15" s="21" t="inlineStr">
        <is>
          <t>Line Total (auto)</t>
        </is>
      </c>
      <c r="E15" s="21" t="inlineStr">
        <is>
          <t>إجمالي البند</t>
        </is>
      </c>
      <c r="F15" s="21">
        <f> Qty × Unit Price</f>
        <v/>
      </c>
      <c r="G15" s="21" t="inlineStr">
        <is>
          <t>—</t>
        </is>
      </c>
      <c r="H15" s="21" t="inlineStr">
        <is>
          <t>SAR #,##0.00 | read-only</t>
        </is>
      </c>
      <c r="I15" s="21" t="inlineStr">
        <is>
          <t>—</t>
        </is>
      </c>
      <c r="J15" s="21" t="inlineStr">
        <is>
          <t>Y</t>
        </is>
      </c>
      <c r="K15" s="21" t="inlineStr">
        <is>
          <t>invoice_lines.line_total (computed)</t>
        </is>
      </c>
      <c r="L15" s="21" t="inlineStr"/>
      <c r="M15" s="22" t="inlineStr"/>
      <c r="N15" s="22" t="inlineStr"/>
    </row>
    <row r="16" ht="17" customHeight="1">
      <c r="A16" s="41" t="inlineStr">
        <is>
          <t xml:space="preserve">  ▸  frInvTotals  —  Invoice Totals  (read-only)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42" t="inlineStr">
        <is>
          <t>lblSubtotal</t>
        </is>
      </c>
      <c r="B17" s="21" t="inlineStr">
        <is>
          <t>lbl</t>
        </is>
      </c>
      <c r="C17" s="21" t="inlineStr">
        <is>
          <t>frInvTotals</t>
        </is>
      </c>
      <c r="D17" s="21" t="inlineStr">
        <is>
          <t>Subtotal (SAR) (auto)</t>
        </is>
      </c>
      <c r="E17" s="21" t="inlineStr">
        <is>
          <t>المجموع قبل الضريبة</t>
        </is>
      </c>
      <c r="F17" s="21" t="inlineStr">
        <is>
          <t>Sum of line_total</t>
        </is>
      </c>
      <c r="G17" s="21" t="inlineStr">
        <is>
          <t>—</t>
        </is>
      </c>
      <c r="H17" s="21" t="inlineStr">
        <is>
          <t>SAR #,##0.00</t>
        </is>
      </c>
      <c r="I17" s="21" t="inlineStr">
        <is>
          <t>—</t>
        </is>
      </c>
      <c r="J17" s="21" t="inlineStr">
        <is>
          <t>Y</t>
        </is>
      </c>
      <c r="K17" s="21" t="inlineStr">
        <is>
          <t>invoices.subtotal (computed)</t>
        </is>
      </c>
      <c r="L17" s="21" t="inlineStr"/>
      <c r="M17" s="22" t="inlineStr"/>
      <c r="N17" s="22" t="inlineStr"/>
    </row>
    <row r="18" ht="15" customHeight="1">
      <c r="A18" s="42" t="inlineStr">
        <is>
          <t>lblVAT</t>
        </is>
      </c>
      <c r="B18" s="7" t="inlineStr">
        <is>
          <t>lbl</t>
        </is>
      </c>
      <c r="C18" s="7" t="inlineStr">
        <is>
          <t>frInvTotals</t>
        </is>
      </c>
      <c r="D18" s="7" t="inlineStr">
        <is>
          <t>VAT 15% (auto)</t>
        </is>
      </c>
      <c r="E18" s="7" t="inlineStr">
        <is>
          <t>ضريبة القيمة المضافة 15%</t>
        </is>
      </c>
      <c r="F18" s="7">
        <f> Subtotal × 0.15</f>
        <v/>
      </c>
      <c r="G18" s="7" t="inlineStr">
        <is>
          <t>—</t>
        </is>
      </c>
      <c r="H18" s="7" t="inlineStr">
        <is>
          <t>SAR #,##0.00</t>
        </is>
      </c>
      <c r="I18" s="7" t="inlineStr">
        <is>
          <t>—</t>
        </is>
      </c>
      <c r="J18" s="7" t="inlineStr">
        <is>
          <t>Y</t>
        </is>
      </c>
      <c r="K18" s="7" t="inlineStr">
        <is>
          <t>invoices.vat_amount (computed)</t>
        </is>
      </c>
      <c r="L18" s="7" t="inlineStr">
        <is>
          <t>VAT rate = 15% hardcoded (KSA). Show VAT number from settings.</t>
        </is>
      </c>
      <c r="M18" s="22" t="inlineStr"/>
      <c r="N18" s="22" t="inlineStr"/>
    </row>
    <row r="19" ht="15" customHeight="1">
      <c r="A19" s="42" t="inlineStr">
        <is>
          <t>lblTotal</t>
        </is>
      </c>
      <c r="B19" s="21" t="inlineStr">
        <is>
          <t>lbl</t>
        </is>
      </c>
      <c r="C19" s="21" t="inlineStr">
        <is>
          <t>frInvTotals</t>
        </is>
      </c>
      <c r="D19" s="21" t="inlineStr">
        <is>
          <t>Total (SAR) (auto)</t>
        </is>
      </c>
      <c r="E19" s="21" t="inlineStr">
        <is>
          <t>الإجمالي</t>
        </is>
      </c>
      <c r="F19" s="21">
        <f> Subtotal + VAT</f>
        <v/>
      </c>
      <c r="G19" s="21" t="inlineStr">
        <is>
          <t>—</t>
        </is>
      </c>
      <c r="H19" s="21" t="inlineStr">
        <is>
          <t>SAR #,##0.00 | bold</t>
        </is>
      </c>
      <c r="I19" s="21" t="inlineStr">
        <is>
          <t>—</t>
        </is>
      </c>
      <c r="J19" s="21" t="inlineStr">
        <is>
          <t>Y</t>
        </is>
      </c>
      <c r="K19" s="21" t="inlineStr">
        <is>
          <t>invoices.total_amount (computed)</t>
        </is>
      </c>
      <c r="L19" s="21" t="inlineStr"/>
      <c r="M19" s="22" t="inlineStr"/>
      <c r="N19" s="22" t="inlineStr"/>
    </row>
    <row r="20" ht="17" customHeight="1">
      <c r="A20" s="41" t="inlineStr">
        <is>
          <t xml:space="preserve">  ▸  frInvActions  —  Actions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</row>
    <row r="21" ht="15" customHeight="1">
      <c r="A21" s="42" t="inlineStr">
        <is>
          <t>cmdSave</t>
        </is>
      </c>
      <c r="B21" s="21" t="inlineStr">
        <is>
          <t>cmd</t>
        </is>
      </c>
      <c r="C21" s="21" t="inlineStr">
        <is>
          <t>frInvActions</t>
        </is>
      </c>
      <c r="D21" s="21" t="inlineStr">
        <is>
          <t>Save Draft</t>
        </is>
      </c>
      <c r="E21" s="21" t="inlineStr">
        <is>
          <t>حفظ مسودة</t>
        </is>
      </c>
      <c r="F21" s="21" t="inlineStr">
        <is>
          <t>—</t>
        </is>
      </c>
      <c r="G21" s="21" t="inlineStr">
        <is>
          <t>—</t>
        </is>
      </c>
      <c r="H21" s="21" t="inlineStr">
        <is>
          <t>Saves with status DRAFT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1" t="inlineStr"/>
      <c r="M21" s="22" t="inlineStr"/>
      <c r="N21" s="22" t="inlineStr"/>
    </row>
    <row r="22" ht="15" customHeight="1">
      <c r="A22" s="42" t="inlineStr">
        <is>
          <t>cmdPost</t>
        </is>
      </c>
      <c r="B22" s="7" t="inlineStr">
        <is>
          <t>cmd</t>
        </is>
      </c>
      <c r="C22" s="7" t="inlineStr">
        <is>
          <t>frInvActions</t>
        </is>
      </c>
      <c r="D22" s="7" t="inlineStr">
        <is>
          <t>Post Invoice</t>
        </is>
      </c>
      <c r="E22" s="7" t="inlineStr">
        <is>
          <t>ترحيل الفاتورة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Changes status to POSTED; creates GL entries</t>
        </is>
      </c>
      <c r="I22" s="7" t="inlineStr">
        <is>
          <t>—</t>
        </is>
      </c>
      <c r="J22" s="7" t="inlineStr">
        <is>
          <t>—</t>
        </is>
      </c>
      <c r="K22" s="7" t="inlineStr">
        <is>
          <t>—</t>
        </is>
      </c>
      <c r="L22" s="7" t="inlineStr">
        <is>
          <t>Auto-posts to debtors &amp; revenue accounts.</t>
        </is>
      </c>
      <c r="M22" s="22" t="inlineStr"/>
      <c r="N22" s="22" t="inlineStr"/>
    </row>
    <row r="23" ht="15" customHeight="1">
      <c r="A23" s="42" t="inlineStr">
        <is>
          <t>cmdPrint</t>
        </is>
      </c>
      <c r="B23" s="21" t="inlineStr">
        <is>
          <t>cmd</t>
        </is>
      </c>
      <c r="C23" s="21" t="inlineStr">
        <is>
          <t>frInvActions</t>
        </is>
      </c>
      <c r="D23" s="21" t="inlineStr">
        <is>
          <t>Print / PDF</t>
        </is>
      </c>
      <c r="E23" s="21" t="inlineStr">
        <is>
          <t>طباعة / PDF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Generates ZATCA-compliant PDF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—</t>
        </is>
      </c>
      <c r="L23" s="21" t="inlineStr">
        <is>
          <t>Must show VAT No, CR, QR code.</t>
        </is>
      </c>
      <c r="M23" s="22" t="inlineStr"/>
      <c r="N23" s="22" t="inlineStr"/>
    </row>
  </sheetData>
  <mergeCells count="6">
    <mergeCell ref="A4:N4"/>
    <mergeCell ref="A20:N20"/>
    <mergeCell ref="A2:N2"/>
    <mergeCell ref="A16:N16"/>
    <mergeCell ref="A11:N11"/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frmPayments  —  Payments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frPayHeader  —  Payment Header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txtPayDate</t>
        </is>
      </c>
      <c r="B5" s="21" t="inlineStr">
        <is>
          <t>txt</t>
        </is>
      </c>
      <c r="C5" s="21" t="inlineStr">
        <is>
          <t>frPayHeader</t>
        </is>
      </c>
      <c r="D5" s="21" t="inlineStr">
        <is>
          <t>Payment Date *</t>
        </is>
      </c>
      <c r="E5" s="21" t="inlineStr">
        <is>
          <t>تاريخ الدفع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DD/MM/YYYY | Default today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payments.payment_date</t>
        </is>
      </c>
      <c r="L5" s="21" t="inlineStr"/>
      <c r="M5" s="22" t="inlineStr"/>
      <c r="N5" s="22" t="inlineStr"/>
    </row>
    <row r="6" ht="15" customHeight="1">
      <c r="A6" s="42" t="inlineStr">
        <is>
          <t>cboPayType</t>
        </is>
      </c>
      <c r="B6" s="7" t="inlineStr">
        <is>
          <t>cbo</t>
        </is>
      </c>
      <c r="C6" s="7" t="inlineStr">
        <is>
          <t>frPayHeader</t>
        </is>
      </c>
      <c r="D6" s="7" t="inlineStr">
        <is>
          <t>Payment Type *</t>
        </is>
      </c>
      <c r="E6" s="7" t="inlineStr">
        <is>
          <t>نوع الدفعة *</t>
        </is>
      </c>
      <c r="F6" s="7" t="inlineStr">
        <is>
          <t>Hardcoded</t>
        </is>
      </c>
      <c r="G6" s="7" t="inlineStr">
        <is>
          <t>—</t>
        </is>
      </c>
      <c r="H6" s="7" t="inlineStr">
        <is>
          <t>CUSTOMER_PAYMENT|SUPPLIER_PAYMENT|ADVANCE_PAYMENT|REFUND|OTHER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payments.payment_type</t>
        </is>
      </c>
      <c r="L6" s="7" t="inlineStr"/>
      <c r="M6" s="22" t="inlineStr"/>
      <c r="N6" s="22" t="inlineStr"/>
    </row>
    <row r="7" ht="15" customHeight="1">
      <c r="A7" s="42" t="inlineStr">
        <is>
          <t>cboCustId</t>
        </is>
      </c>
      <c r="B7" s="21" t="inlineStr">
        <is>
          <t>cbo</t>
        </is>
      </c>
      <c r="C7" s="21" t="inlineStr">
        <is>
          <t>frPayHeader</t>
        </is>
      </c>
      <c r="D7" s="21" t="inlineStr">
        <is>
          <t>Customer</t>
        </is>
      </c>
      <c r="E7" s="21" t="inlineStr">
        <is>
          <t>العميل</t>
        </is>
      </c>
      <c r="F7" s="21" t="inlineStr">
        <is>
          <t>customers WHERE entity_id</t>
        </is>
      </c>
      <c r="G7" s="21" t="inlineStr">
        <is>
          <t>cboPayType</t>
        </is>
      </c>
      <c r="H7" s="21" t="inlineStr">
        <is>
          <t>UUID | visible when type=CUSTOMER_PAYMENT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payments.customer_id</t>
        </is>
      </c>
      <c r="L7" s="21" t="inlineStr">
        <is>
          <t>Mutually exclusive with Supplier.</t>
        </is>
      </c>
      <c r="M7" s="22" t="inlineStr"/>
      <c r="N7" s="22" t="inlineStr"/>
    </row>
    <row r="8" ht="15" customHeight="1">
      <c r="A8" s="42" t="inlineStr">
        <is>
          <t>cboAirId</t>
        </is>
      </c>
      <c r="B8" s="7" t="inlineStr">
        <is>
          <t>cbo</t>
        </is>
      </c>
      <c r="C8" s="7" t="inlineStr">
        <is>
          <t>frPayHeader</t>
        </is>
      </c>
      <c r="D8" s="7" t="inlineStr">
        <is>
          <t>Airline / Supplier</t>
        </is>
      </c>
      <c r="E8" s="7" t="inlineStr">
        <is>
          <t>المورد</t>
        </is>
      </c>
      <c r="F8" s="7" t="inlineStr">
        <is>
          <t>contractors WHERE entity_id</t>
        </is>
      </c>
      <c r="G8" s="7" t="inlineStr">
        <is>
          <t>cboPayType</t>
        </is>
      </c>
      <c r="H8" s="7" t="inlineStr">
        <is>
          <t>UUID | visible when type=SUPPLIER_PAYMENT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payments.contractor_id</t>
        </is>
      </c>
      <c r="L8" s="7" t="inlineStr"/>
      <c r="M8" s="22" t="inlineStr"/>
      <c r="N8" s="22" t="inlineStr"/>
    </row>
    <row r="9" ht="15" customHeight="1">
      <c r="A9" s="42" t="inlineStr">
        <is>
          <t>txtAmount</t>
        </is>
      </c>
      <c r="B9" s="21" t="inlineStr">
        <is>
          <t>txt</t>
        </is>
      </c>
      <c r="C9" s="21" t="inlineStr">
        <is>
          <t>frPayHeader</t>
        </is>
      </c>
      <c r="D9" s="21" t="inlineStr">
        <is>
          <t>Amount (SAR) *</t>
        </is>
      </c>
      <c r="E9" s="21" t="inlineStr">
        <is>
          <t>المبلغ *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#,##0.00 | &gt; 0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payments.amount</t>
        </is>
      </c>
      <c r="L9" s="21" t="inlineStr"/>
      <c r="M9" s="22" t="inlineStr"/>
      <c r="N9" s="22" t="inlineStr"/>
    </row>
    <row r="10" ht="15" customHeight="1">
      <c r="A10" s="42" t="inlineStr">
        <is>
          <t>cboMethod</t>
        </is>
      </c>
      <c r="B10" s="7" t="inlineStr">
        <is>
          <t>cbo</t>
        </is>
      </c>
      <c r="C10" s="7" t="inlineStr">
        <is>
          <t>frPayHeader</t>
        </is>
      </c>
      <c r="D10" s="7" t="inlineStr">
        <is>
          <t>Payment Method *</t>
        </is>
      </c>
      <c r="E10" s="7" t="inlineStr">
        <is>
          <t>طريقة الدفع *</t>
        </is>
      </c>
      <c r="F10" s="7" t="inlineStr">
        <is>
          <t>Hardcoded</t>
        </is>
      </c>
      <c r="G10" s="7" t="inlineStr">
        <is>
          <t>—</t>
        </is>
      </c>
      <c r="H10" s="7" t="inlineStr">
        <is>
          <t>BANK_TRANSFER|CHEQUE|CASH|CREDIT_CARD|PETTY_CASH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payments.payment_method</t>
        </is>
      </c>
      <c r="L10" s="7" t="inlineStr"/>
      <c r="M10" s="22" t="inlineStr"/>
      <c r="N10" s="22" t="inlineStr"/>
    </row>
    <row r="11" ht="15" customHeight="1">
      <c r="A11" s="42" t="inlineStr">
        <is>
          <t>txtRef</t>
        </is>
      </c>
      <c r="B11" s="21" t="inlineStr">
        <is>
          <t>txt</t>
        </is>
      </c>
      <c r="C11" s="21" t="inlineStr">
        <is>
          <t>frPayHeader</t>
        </is>
      </c>
      <c r="D11" s="21" t="inlineStr">
        <is>
          <t>Reference / Cheque No</t>
        </is>
      </c>
      <c r="E11" s="21" t="inlineStr">
        <is>
          <t>المرجع / رقم الشيك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Free text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payments.reference_number</t>
        </is>
      </c>
      <c r="L11" s="21" t="inlineStr"/>
      <c r="M11" s="22" t="inlineStr"/>
      <c r="N11" s="22" t="inlineStr"/>
    </row>
    <row r="12" ht="15" customHeight="1">
      <c r="A12" s="42" t="inlineStr">
        <is>
          <t>txtDesc</t>
        </is>
      </c>
      <c r="B12" s="7" t="inlineStr">
        <is>
          <t>txt</t>
        </is>
      </c>
      <c r="C12" s="7" t="inlineStr">
        <is>
          <t>frPayHeader</t>
        </is>
      </c>
      <c r="D12" s="7" t="inlineStr">
        <is>
          <t>Description</t>
        </is>
      </c>
      <c r="E12" s="7" t="inlineStr">
        <is>
          <t>الوصف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payments.description</t>
        </is>
      </c>
      <c r="L12" s="7" t="inlineStr"/>
      <c r="M12" s="22" t="inlineStr"/>
      <c r="N12" s="22" t="inlineStr"/>
    </row>
    <row r="13" ht="17" customHeight="1">
      <c r="A13" s="41" t="inlineStr">
        <is>
          <t xml:space="preserve">  ▸  frPayAlloc  —  Invoice Allocation  (optional)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</row>
    <row r="14" ht="15" customHeight="1">
      <c r="A14" s="42" t="inlineStr">
        <is>
          <t>lstOpenInvoices</t>
        </is>
      </c>
      <c r="B14" s="7" t="inlineStr">
        <is>
          <t>lst</t>
        </is>
      </c>
      <c r="C14" s="7" t="inlineStr">
        <is>
          <t>frPayAlloc</t>
        </is>
      </c>
      <c r="D14" s="7" t="inlineStr">
        <is>
          <t>Open Invoices</t>
        </is>
      </c>
      <c r="E14" s="7" t="inlineStr">
        <is>
          <t>الفواتير المفتوحة</t>
        </is>
      </c>
      <c r="F14" s="7" t="inlineStr">
        <is>
          <t>invoices WHERE customer_id AND status=POSTED AND balance&gt;0</t>
        </is>
      </c>
      <c r="G14" s="7" t="inlineStr">
        <is>
          <t>cboCustId</t>
        </is>
      </c>
      <c r="H14" s="7" t="inlineStr">
        <is>
          <t>Multi-select list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payment_allocations.invoice_id</t>
        </is>
      </c>
      <c r="L14" s="7" t="inlineStr">
        <is>
          <t>Allocate payment to one or more open invoices.</t>
        </is>
      </c>
      <c r="M14" s="22" t="inlineStr"/>
      <c r="N14" s="22" t="inlineStr"/>
    </row>
    <row r="15" ht="15" customHeight="1">
      <c r="A15" s="42" t="inlineStr">
        <is>
          <t>txtAllocAmount</t>
        </is>
      </c>
      <c r="B15" s="21" t="inlineStr">
        <is>
          <t>txt</t>
        </is>
      </c>
      <c r="C15" s="21" t="inlineStr">
        <is>
          <t>frPayAlloc</t>
        </is>
      </c>
      <c r="D15" s="21" t="inlineStr">
        <is>
          <t>Allocate Amount (SAR)</t>
        </is>
      </c>
      <c r="E15" s="21" t="inlineStr">
        <is>
          <t>المبلغ المخصص</t>
        </is>
      </c>
      <c r="F15" s="21" t="inlineStr">
        <is>
          <t>User</t>
        </is>
      </c>
      <c r="G15" s="21" t="inlineStr">
        <is>
          <t>lstOpenInvoices</t>
        </is>
      </c>
      <c r="H15" s="21" t="inlineStr">
        <is>
          <t>#,##0.00 per invoice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payment_allocations.allocated_amount</t>
        </is>
      </c>
      <c r="L15" s="21" t="inlineStr">
        <is>
          <t>Sum of allocations ≤ payment amount.</t>
        </is>
      </c>
      <c r="M15" s="22" t="inlineStr"/>
      <c r="N15" s="22" t="inlineStr"/>
    </row>
  </sheetData>
  <mergeCells count="4">
    <mergeCell ref="A4:N4"/>
    <mergeCell ref="A13:N13"/>
    <mergeCell ref="A2:N2"/>
    <mergeCell ref="A1:N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frmReceipts  —  Receipts (Cash In)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frReceiptForm  —  Receipt Form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txtReceiptDate</t>
        </is>
      </c>
      <c r="B5" s="21" t="inlineStr">
        <is>
          <t>txt</t>
        </is>
      </c>
      <c r="C5" s="21" t="inlineStr">
        <is>
          <t>frReceiptForm</t>
        </is>
      </c>
      <c r="D5" s="21" t="inlineStr">
        <is>
          <t>Receipt Date *</t>
        </is>
      </c>
      <c r="E5" s="21" t="inlineStr">
        <is>
          <t>تاريخ الإيصال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DD/MM/YYYY | Default today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receipts.receipt_date</t>
        </is>
      </c>
      <c r="L5" s="21" t="inlineStr"/>
      <c r="M5" s="22" t="inlineStr"/>
      <c r="N5" s="22" t="inlineStr"/>
    </row>
    <row r="6" ht="15" customHeight="1">
      <c r="A6" s="42" t="inlineStr">
        <is>
          <t>txtReceivedFrom</t>
        </is>
      </c>
      <c r="B6" s="7" t="inlineStr">
        <is>
          <t>txt</t>
        </is>
      </c>
      <c r="C6" s="7" t="inlineStr">
        <is>
          <t>frReceiptForm</t>
        </is>
      </c>
      <c r="D6" s="7" t="inlineStr">
        <is>
          <t>Received From *</t>
        </is>
      </c>
      <c r="E6" s="7" t="inlineStr">
        <is>
          <t>مستلم من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Free text or auto from party select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receipts.received_from</t>
        </is>
      </c>
      <c r="L6" s="7" t="inlineStr"/>
      <c r="M6" s="22" t="inlineStr"/>
      <c r="N6" s="22" t="inlineStr"/>
    </row>
    <row r="7" ht="15" customHeight="1">
      <c r="A7" s="42" t="inlineStr">
        <is>
          <t>cboPartyType</t>
        </is>
      </c>
      <c r="B7" s="21" t="inlineStr">
        <is>
          <t>cbo</t>
        </is>
      </c>
      <c r="C7" s="21" t="inlineStr">
        <is>
          <t>frReceiptForm</t>
        </is>
      </c>
      <c r="D7" s="21" t="inlineStr">
        <is>
          <t>Party Type *</t>
        </is>
      </c>
      <c r="E7" s="21" t="inlineStr">
        <is>
          <t>نوع الطرف *</t>
        </is>
      </c>
      <c r="F7" s="21" t="inlineStr">
        <is>
          <t>Hardcoded</t>
        </is>
      </c>
      <c r="G7" s="21" t="inlineStr">
        <is>
          <t>—</t>
        </is>
      </c>
      <c r="H7" s="21" t="inlineStr">
        <is>
          <t>CONTRACTOR|CUSTOMER|OTHER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receipts.party_type</t>
        </is>
      </c>
      <c r="L7" s="21" t="inlineStr">
        <is>
          <t>Controls which party dropdown is shown.</t>
        </is>
      </c>
      <c r="M7" s="22" t="inlineStr"/>
      <c r="N7" s="22" t="inlineStr"/>
    </row>
    <row r="8" ht="15" customHeight="1">
      <c r="A8" s="42" t="inlineStr">
        <is>
          <t>cboContractorId</t>
        </is>
      </c>
      <c r="B8" s="7" t="inlineStr">
        <is>
          <t>cbo</t>
        </is>
      </c>
      <c r="C8" s="7" t="inlineStr">
        <is>
          <t>frReceiptForm</t>
        </is>
      </c>
      <c r="D8" s="7" t="inlineStr">
        <is>
          <t>Contractor</t>
        </is>
      </c>
      <c r="E8" s="7" t="inlineStr">
        <is>
          <t>المقاول</t>
        </is>
      </c>
      <c r="F8" s="7" t="inlineStr">
        <is>
          <t>contractors WHERE entity_id</t>
        </is>
      </c>
      <c r="G8" s="7" t="inlineStr">
        <is>
          <t>cboPartyType=CONTRACTOR</t>
        </is>
      </c>
      <c r="H8" s="7" t="inlineStr">
        <is>
          <t>name | UUID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receipts.contractor_id</t>
        </is>
      </c>
      <c r="L8" s="7" t="inlineStr"/>
      <c r="M8" s="22" t="inlineStr"/>
      <c r="N8" s="22" t="inlineStr"/>
    </row>
    <row r="9" ht="15" customHeight="1">
      <c r="A9" s="42" t="inlineStr">
        <is>
          <t>cboCustomerId</t>
        </is>
      </c>
      <c r="B9" s="21" t="inlineStr">
        <is>
          <t>cbo</t>
        </is>
      </c>
      <c r="C9" s="21" t="inlineStr">
        <is>
          <t>frReceiptForm</t>
        </is>
      </c>
      <c r="D9" s="21" t="inlineStr">
        <is>
          <t>Customer</t>
        </is>
      </c>
      <c r="E9" s="21" t="inlineStr">
        <is>
          <t>العميل</t>
        </is>
      </c>
      <c r="F9" s="21" t="inlineStr">
        <is>
          <t>customers WHERE entity_id</t>
        </is>
      </c>
      <c r="G9" s="21" t="inlineStr">
        <is>
          <t>cboPartyType=CUSTOMER</t>
        </is>
      </c>
      <c r="H9" s="21" t="inlineStr">
        <is>
          <t>name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receipts.customer_id</t>
        </is>
      </c>
      <c r="L9" s="21" t="inlineStr"/>
      <c r="M9" s="22" t="inlineStr"/>
      <c r="N9" s="22" t="inlineStr"/>
    </row>
    <row r="10" ht="15" customHeight="1">
      <c r="A10" s="42" t="inlineStr">
        <is>
          <t>txtAmount</t>
        </is>
      </c>
      <c r="B10" s="7" t="inlineStr">
        <is>
          <t>txt</t>
        </is>
      </c>
      <c r="C10" s="7" t="inlineStr">
        <is>
          <t>frReceiptForm</t>
        </is>
      </c>
      <c r="D10" s="7" t="inlineStr">
        <is>
          <t>Amount (SAR) *</t>
        </is>
      </c>
      <c r="E10" s="7" t="inlineStr">
        <is>
          <t>المبلغ *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#,##0.00 | &gt; 0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receipts.amount</t>
        </is>
      </c>
      <c r="L10" s="7" t="inlineStr"/>
      <c r="M10" s="22" t="inlineStr"/>
      <c r="N10" s="22" t="inlineStr"/>
    </row>
    <row r="11" ht="15" customHeight="1">
      <c r="A11" s="42" t="inlineStr">
        <is>
          <t>cboPayMethod</t>
        </is>
      </c>
      <c r="B11" s="21" t="inlineStr">
        <is>
          <t>cbo</t>
        </is>
      </c>
      <c r="C11" s="21" t="inlineStr">
        <is>
          <t>frReceiptForm</t>
        </is>
      </c>
      <c r="D11" s="21" t="inlineStr">
        <is>
          <t>Payment Method *</t>
        </is>
      </c>
      <c r="E11" s="21" t="inlineStr">
        <is>
          <t>طريقة الدفع *</t>
        </is>
      </c>
      <c r="F11" s="21" t="inlineStr">
        <is>
          <t>Hardcoded</t>
        </is>
      </c>
      <c r="G11" s="21" t="inlineStr">
        <is>
          <t>—</t>
        </is>
      </c>
      <c r="H11" s="21" t="inlineStr">
        <is>
          <t>BANK_TRANSFER|CASH|CHEQUE|CREDIT_CARD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receipts.payment_method</t>
        </is>
      </c>
      <c r="L11" s="21" t="inlineStr"/>
      <c r="M11" s="22" t="inlineStr"/>
      <c r="N11" s="22" t="inlineStr"/>
    </row>
    <row r="12" ht="15" customHeight="1">
      <c r="A12" s="42" t="inlineStr">
        <is>
          <t>cboBankAccount</t>
        </is>
      </c>
      <c r="B12" s="7" t="inlineStr">
        <is>
          <t>cbo</t>
        </is>
      </c>
      <c r="C12" s="7" t="inlineStr">
        <is>
          <t>frReceiptForm</t>
        </is>
      </c>
      <c r="D12" s="7" t="inlineStr">
        <is>
          <t>Bank Account</t>
        </is>
      </c>
      <c r="E12" s="7" t="inlineStr">
        <is>
          <t>الحساب البنكي</t>
        </is>
      </c>
      <c r="F12" s="7" t="inlineStr">
        <is>
          <t>Hardcoded bank accounts</t>
        </is>
      </c>
      <c r="G12" s="7" t="inlineStr">
        <is>
          <t>—</t>
        </is>
      </c>
      <c r="H12" s="7" t="inlineStr">
        <is>
          <t>ANB-15|ANB-39|ANB-77|etc.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receipts.bank_account</t>
        </is>
      </c>
      <c r="L12" s="7" t="inlineStr">
        <is>
          <t>Shown when method = BANK_TRANSFER.</t>
        </is>
      </c>
      <c r="M12" s="22" t="inlineStr"/>
      <c r="N12" s="22" t="inlineStr"/>
    </row>
    <row r="13" ht="15" customHeight="1">
      <c r="A13" s="42" t="inlineStr">
        <is>
          <t>txtReference</t>
        </is>
      </c>
      <c r="B13" s="21" t="inlineStr">
        <is>
          <t>txt</t>
        </is>
      </c>
      <c r="C13" s="21" t="inlineStr">
        <is>
          <t>frReceiptForm</t>
        </is>
      </c>
      <c r="D13" s="21" t="inlineStr">
        <is>
          <t>Reference No</t>
        </is>
      </c>
      <c r="E13" s="21" t="inlineStr">
        <is>
          <t>رقم المرجع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receipts.reference</t>
        </is>
      </c>
      <c r="L13" s="21" t="inlineStr"/>
      <c r="M13" s="22" t="inlineStr"/>
      <c r="N13" s="22" t="inlineStr"/>
    </row>
    <row r="14" ht="15" customHeight="1">
      <c r="A14" s="42" t="inlineStr">
        <is>
          <t>txtNotes</t>
        </is>
      </c>
      <c r="B14" s="7" t="inlineStr">
        <is>
          <t>txt</t>
        </is>
      </c>
      <c r="C14" s="7" t="inlineStr">
        <is>
          <t>frReceiptForm</t>
        </is>
      </c>
      <c r="D14" s="7" t="inlineStr">
        <is>
          <t>Notes</t>
        </is>
      </c>
      <c r="E14" s="7" t="inlineStr">
        <is>
          <t>ملاحظات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receipts.notes</t>
        </is>
      </c>
      <c r="L14" s="7" t="inlineStr"/>
      <c r="M14" s="22" t="inlineStr"/>
      <c r="N14" s="22" t="inlineStr"/>
    </row>
  </sheetData>
  <mergeCells count="3">
    <mergeCell ref="A4:N4"/>
    <mergeCell ref="A2:N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frmJournalVoucher  —  Journal Vouchers (JV)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frJVHeader  —  Voucher Header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cboVType</t>
        </is>
      </c>
      <c r="B5" s="21" t="inlineStr">
        <is>
          <t>cbo</t>
        </is>
      </c>
      <c r="C5" s="21" t="inlineStr">
        <is>
          <t>frJVHeader</t>
        </is>
      </c>
      <c r="D5" s="21" t="inlineStr">
        <is>
          <t>Voucher Type *</t>
        </is>
      </c>
      <c r="E5" s="21" t="inlineStr">
        <is>
          <t>نوع السند *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JV|PV|RV|BPV|BRV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journal_vouchers.voucher_type</t>
        </is>
      </c>
      <c r="L5" s="21" t="inlineStr">
        <is>
          <t>JV=Journal, PV=Payment, RV=Receipt, BPV=Bank Payment, BRV=Bank Receipt.</t>
        </is>
      </c>
      <c r="M5" s="22" t="inlineStr"/>
      <c r="N5" s="22" t="inlineStr"/>
    </row>
    <row r="6" ht="15" customHeight="1">
      <c r="A6" s="42" t="inlineStr">
        <is>
          <t>txtVDate</t>
        </is>
      </c>
      <c r="B6" s="7" t="inlineStr">
        <is>
          <t>txt</t>
        </is>
      </c>
      <c r="C6" s="7" t="inlineStr">
        <is>
          <t>frJVHeader</t>
        </is>
      </c>
      <c r="D6" s="7" t="inlineStr">
        <is>
          <t>Voucher Date *</t>
        </is>
      </c>
      <c r="E6" s="7" t="inlineStr">
        <is>
          <t>تاريخ السند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DD/MM/YYYY | Default today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journal_vouchers.voucher_date</t>
        </is>
      </c>
      <c r="L6" s="7" t="inlineStr"/>
      <c r="M6" s="22" t="inlineStr"/>
      <c r="N6" s="22" t="inlineStr"/>
    </row>
    <row r="7" ht="15" customHeight="1">
      <c r="A7" s="42" t="inlineStr">
        <is>
          <t>txtVNo</t>
        </is>
      </c>
      <c r="B7" s="21" t="inlineStr">
        <is>
          <t>txt</t>
        </is>
      </c>
      <c r="C7" s="21" t="inlineStr">
        <is>
          <t>frJVHeader</t>
        </is>
      </c>
      <c r="D7" s="21" t="inlineStr">
        <is>
          <t>Voucher No (auto)</t>
        </is>
      </c>
      <c r="E7" s="21" t="inlineStr">
        <is>
          <t>رقم السند</t>
        </is>
      </c>
      <c r="F7" s="21" t="inlineStr">
        <is>
          <t>System</t>
        </is>
      </c>
      <c r="G7" s="21" t="inlineStr">
        <is>
          <t>—</t>
        </is>
      </c>
      <c r="H7" s="21" t="inlineStr">
        <is>
          <t>Read-only. Auto-sequential per entity</t>
        </is>
      </c>
      <c r="I7" s="21" t="inlineStr">
        <is>
          <t>—</t>
        </is>
      </c>
      <c r="J7" s="21" t="inlineStr">
        <is>
          <t>Y</t>
        </is>
      </c>
      <c r="K7" s="21" t="inlineStr">
        <is>
          <t>journal_vouchers.voucher_number</t>
        </is>
      </c>
      <c r="L7" s="21" t="inlineStr"/>
      <c r="M7" s="22" t="inlineStr"/>
      <c r="N7" s="22" t="inlineStr"/>
    </row>
    <row r="8" ht="15" customHeight="1">
      <c r="A8" s="42" t="inlineStr">
        <is>
          <t>txtVNote</t>
        </is>
      </c>
      <c r="B8" s="7" t="inlineStr">
        <is>
          <t>txt</t>
        </is>
      </c>
      <c r="C8" s="7" t="inlineStr">
        <is>
          <t>frJVHeader</t>
        </is>
      </c>
      <c r="D8" s="7" t="inlineStr">
        <is>
          <t>Narration / Note *</t>
        </is>
      </c>
      <c r="E8" s="7" t="inlineStr">
        <is>
          <t>البيان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Free text | Max 500 chars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journal_vouchers.narration</t>
        </is>
      </c>
      <c r="L8" s="7" t="inlineStr"/>
      <c r="M8" s="22" t="inlineStr"/>
      <c r="N8" s="22" t="inlineStr"/>
    </row>
    <row r="9" ht="17" customHeight="1">
      <c r="A9" s="41" t="inlineStr">
        <is>
          <t xml:space="preserve">  ▸  frJVLines  —  Voucher Lines  (Debit / Credit)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4" t="n"/>
    </row>
    <row r="10" ht="15" customHeight="1">
      <c r="A10" s="42" t="inlineStr">
        <is>
          <t>txtAccCode</t>
        </is>
      </c>
      <c r="B10" s="7" t="inlineStr">
        <is>
          <t>txt</t>
        </is>
      </c>
      <c r="C10" s="7" t="inlineStr">
        <is>
          <t>frJVLines</t>
        </is>
      </c>
      <c r="D10" s="7" t="inlineStr">
        <is>
          <t>Account Code *</t>
        </is>
      </c>
      <c r="E10" s="7" t="inlineStr">
        <is>
          <t>رمز الحساب *</t>
        </is>
      </c>
      <c r="F10" s="7" t="inlineStr">
        <is>
          <t>chart_of_accounts WHERE entity_id</t>
        </is>
      </c>
      <c r="G10" s="7" t="inlineStr">
        <is>
          <t>—</t>
        </is>
      </c>
      <c r="H10" s="7" t="inlineStr">
        <is>
          <t>Type-ahead search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journal_voucher_lines.account_code</t>
        </is>
      </c>
      <c r="L10" s="7" t="inlineStr">
        <is>
          <t>Must exist in COA.</t>
        </is>
      </c>
      <c r="M10" s="22" t="inlineStr"/>
      <c r="N10" s="22" t="inlineStr"/>
    </row>
    <row r="11" ht="15" customHeight="1">
      <c r="A11" s="42" t="inlineStr">
        <is>
          <t>lblAccName</t>
        </is>
      </c>
      <c r="B11" s="21" t="inlineStr">
        <is>
          <t>lbl</t>
        </is>
      </c>
      <c r="C11" s="21" t="inlineStr">
        <is>
          <t>frJVLines</t>
        </is>
      </c>
      <c r="D11" s="21" t="inlineStr">
        <is>
          <t>Account Name (auto)</t>
        </is>
      </c>
      <c r="E11" s="21" t="inlineStr">
        <is>
          <t>اسم الحساب</t>
        </is>
      </c>
      <c r="F11" s="21" t="inlineStr">
        <is>
          <t>chart_of_accounts</t>
        </is>
      </c>
      <c r="G11" s="21" t="inlineStr">
        <is>
          <t>txtAccCode</t>
        </is>
      </c>
      <c r="H11" s="21" t="inlineStr">
        <is>
          <t>Read-only | auto-fill from code</t>
        </is>
      </c>
      <c r="I11" s="21" t="inlineStr">
        <is>
          <t>—</t>
        </is>
      </c>
      <c r="J11" s="21" t="inlineStr">
        <is>
          <t>Y</t>
        </is>
      </c>
      <c r="K11" s="21" t="inlineStr">
        <is>
          <t>journal_voucher_lines.account_name (display)</t>
        </is>
      </c>
      <c r="L11" s="21" t="inlineStr"/>
      <c r="M11" s="22" t="inlineStr"/>
      <c r="N11" s="22" t="inlineStr"/>
    </row>
    <row r="12" ht="15" customHeight="1">
      <c r="A12" s="42" t="inlineStr">
        <is>
          <t>txtLineDesc</t>
        </is>
      </c>
      <c r="B12" s="7" t="inlineStr">
        <is>
          <t>txt</t>
        </is>
      </c>
      <c r="C12" s="7" t="inlineStr">
        <is>
          <t>frJVLines</t>
        </is>
      </c>
      <c r="D12" s="7" t="inlineStr">
        <is>
          <t>Line Description</t>
        </is>
      </c>
      <c r="E12" s="7" t="inlineStr">
        <is>
          <t>وصف البند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 | Max 200 chars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journal_voucher_lines.description</t>
        </is>
      </c>
      <c r="L12" s="7" t="inlineStr"/>
      <c r="M12" s="22" t="inlineStr"/>
      <c r="N12" s="22" t="inlineStr"/>
    </row>
    <row r="13" ht="15" customHeight="1">
      <c r="A13" s="42" t="inlineStr">
        <is>
          <t>txtDrAmount</t>
        </is>
      </c>
      <c r="B13" s="21" t="inlineStr">
        <is>
          <t>txt</t>
        </is>
      </c>
      <c r="C13" s="21" t="inlineStr">
        <is>
          <t>frJVLines</t>
        </is>
      </c>
      <c r="D13" s="21" t="inlineStr">
        <is>
          <t>Debit (SAR)</t>
        </is>
      </c>
      <c r="E13" s="21" t="inlineStr">
        <is>
          <t>مدين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#,##0.00 | 0 if credit entry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journal_voucher_lines.dr_amount</t>
        </is>
      </c>
      <c r="L13" s="21" t="inlineStr"/>
      <c r="M13" s="22" t="inlineStr"/>
      <c r="N13" s="22" t="inlineStr"/>
    </row>
    <row r="14" ht="15" customHeight="1">
      <c r="A14" s="42" t="inlineStr">
        <is>
          <t>txtCrAmount</t>
        </is>
      </c>
      <c r="B14" s="7" t="inlineStr">
        <is>
          <t>txt</t>
        </is>
      </c>
      <c r="C14" s="7" t="inlineStr">
        <is>
          <t>frJVLines</t>
        </is>
      </c>
      <c r="D14" s="7" t="inlineStr">
        <is>
          <t>Credit (SAR)</t>
        </is>
      </c>
      <c r="E14" s="7" t="inlineStr">
        <is>
          <t>دائن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#,##0.00 | 0 if debit entry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journal_voucher_lines.cr_amount</t>
        </is>
      </c>
      <c r="L14" s="7" t="inlineStr"/>
      <c r="M14" s="22" t="inlineStr"/>
      <c r="N14" s="22" t="inlineStr"/>
    </row>
    <row r="15" ht="17" customHeight="1">
      <c r="A15" s="41" t="inlineStr">
        <is>
          <t xml:space="preserve">  ▸  frJVTotals  —  Totals &amp; Validation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4" t="n"/>
    </row>
    <row r="16" ht="15" customHeight="1">
      <c r="A16" s="42" t="inlineStr">
        <is>
          <t>lblTotalDr</t>
        </is>
      </c>
      <c r="B16" s="7" t="inlineStr">
        <is>
          <t>lbl</t>
        </is>
      </c>
      <c r="C16" s="7" t="inlineStr">
        <is>
          <t>frJVTotals</t>
        </is>
      </c>
      <c r="D16" s="7" t="inlineStr">
        <is>
          <t>Total Debit (auto)</t>
        </is>
      </c>
      <c r="E16" s="7" t="inlineStr">
        <is>
          <t>إجمالي المدين</t>
        </is>
      </c>
      <c r="F16" s="7" t="inlineStr">
        <is>
          <t>Sum of dr_amount</t>
        </is>
      </c>
      <c r="G16" s="7" t="inlineStr">
        <is>
          <t>—</t>
        </is>
      </c>
      <c r="H16" s="7" t="inlineStr">
        <is>
          <t>SAR #,##0.00 | read-only</t>
        </is>
      </c>
      <c r="I16" s="7" t="inlineStr">
        <is>
          <t>—</t>
        </is>
      </c>
      <c r="J16" s="7" t="inlineStr">
        <is>
          <t>Y</t>
        </is>
      </c>
      <c r="K16" s="7" t="inlineStr">
        <is>
          <t>— (computed)</t>
        </is>
      </c>
      <c r="L16" s="7" t="inlineStr"/>
      <c r="M16" s="22" t="inlineStr"/>
      <c r="N16" s="22" t="inlineStr"/>
    </row>
    <row r="17" ht="15" customHeight="1">
      <c r="A17" s="42" t="inlineStr">
        <is>
          <t>lblTotalCr</t>
        </is>
      </c>
      <c r="B17" s="21" t="inlineStr">
        <is>
          <t>lbl</t>
        </is>
      </c>
      <c r="C17" s="21" t="inlineStr">
        <is>
          <t>frJVTotals</t>
        </is>
      </c>
      <c r="D17" s="21" t="inlineStr">
        <is>
          <t>Total Credit (auto)</t>
        </is>
      </c>
      <c r="E17" s="21" t="inlineStr">
        <is>
          <t>إجمالي الدائن</t>
        </is>
      </c>
      <c r="F17" s="21" t="inlineStr">
        <is>
          <t>Sum of cr_amount</t>
        </is>
      </c>
      <c r="G17" s="21" t="inlineStr">
        <is>
          <t>—</t>
        </is>
      </c>
      <c r="H17" s="21" t="inlineStr">
        <is>
          <t>SAR #,##0.00 | read-only</t>
        </is>
      </c>
      <c r="I17" s="21" t="inlineStr">
        <is>
          <t>—</t>
        </is>
      </c>
      <c r="J17" s="21" t="inlineStr">
        <is>
          <t>Y</t>
        </is>
      </c>
      <c r="K17" s="21" t="inlineStr">
        <is>
          <t>— (computed)</t>
        </is>
      </c>
      <c r="L17" s="21" t="inlineStr"/>
      <c r="M17" s="22" t="inlineStr"/>
      <c r="N17" s="22" t="inlineStr"/>
    </row>
    <row r="18" ht="15" customHeight="1">
      <c r="A18" s="42" t="inlineStr">
        <is>
          <t>lblBalance</t>
        </is>
      </c>
      <c r="B18" s="7" t="inlineStr">
        <is>
          <t>lbl</t>
        </is>
      </c>
      <c r="C18" s="7" t="inlineStr">
        <is>
          <t>frJVTotals</t>
        </is>
      </c>
      <c r="D18" s="7" t="inlineStr">
        <is>
          <t>Balance (Dr − Cr)</t>
        </is>
      </c>
      <c r="E18" s="7" t="inlineStr">
        <is>
          <t>الرصيد</t>
        </is>
      </c>
      <c r="F18" s="7">
        <f> TotalDr − TotalCr</f>
        <v/>
      </c>
      <c r="G18" s="7" t="inlineStr">
        <is>
          <t>—</t>
        </is>
      </c>
      <c r="H18" s="7" t="inlineStr">
        <is>
          <t>SAR #,##0.00 | Must be 0 to post</t>
        </is>
      </c>
      <c r="I18" s="7" t="inlineStr">
        <is>
          <t>—</t>
        </is>
      </c>
      <c r="J18" s="7" t="inlineStr">
        <is>
          <t>Y</t>
        </is>
      </c>
      <c r="K18" s="7" t="inlineStr">
        <is>
          <t>— (computed)</t>
        </is>
      </c>
      <c r="L18" s="7" t="inlineStr">
        <is>
          <t>cmdPost disabled if Balance ≠ 0.</t>
        </is>
      </c>
      <c r="M18" s="22" t="inlineStr"/>
      <c r="N18" s="22" t="inlineStr"/>
    </row>
    <row r="19" ht="15" customHeight="1">
      <c r="A19" s="42" t="inlineStr">
        <is>
          <t>cmdPost</t>
        </is>
      </c>
      <c r="B19" s="21" t="inlineStr">
        <is>
          <t>cmd</t>
        </is>
      </c>
      <c r="C19" s="21" t="inlineStr">
        <is>
          <t>frJVTotals</t>
        </is>
      </c>
      <c r="D19" s="21" t="inlineStr">
        <is>
          <t>Post Voucher</t>
        </is>
      </c>
      <c r="E19" s="21" t="inlineStr">
        <is>
          <t>ترحيل السند</t>
        </is>
      </c>
      <c r="F19" s="21" t="inlineStr">
        <is>
          <t>—</t>
        </is>
      </c>
      <c r="G19" s="21" t="inlineStr">
        <is>
          <t>lblBalance=0</t>
        </is>
      </c>
      <c r="H19" s="21" t="inlineStr">
        <is>
          <t>Primary button | disabled when not balanced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>
        <is>
          <t>Creates GL ledger entries on post.</t>
        </is>
      </c>
      <c r="M19" s="22" t="inlineStr"/>
      <c r="N19" s="22" t="inlineStr"/>
    </row>
  </sheetData>
  <mergeCells count="5">
    <mergeCell ref="A9:N9"/>
    <mergeCell ref="A4:N4"/>
    <mergeCell ref="A2:N2"/>
    <mergeCell ref="A15:N15"/>
    <mergeCell ref="A1:N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frmCheques  —  Cheque Management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frChequeType  —  Cheque Direction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tglChequeDir</t>
        </is>
      </c>
      <c r="B5" s="21" t="inlineStr">
        <is>
          <t>tgl</t>
        </is>
      </c>
      <c r="C5" s="21" t="inlineStr">
        <is>
          <t>frChequeType</t>
        </is>
      </c>
      <c r="D5" s="21" t="inlineStr">
        <is>
          <t>Issued / Received</t>
        </is>
      </c>
      <c r="E5" s="21" t="inlineStr">
        <is>
          <t>صادر / وارد</t>
        </is>
      </c>
      <c r="F5" s="21" t="inlineStr">
        <is>
          <t>Hardcoded</t>
        </is>
      </c>
      <c r="G5" s="21" t="inlineStr">
        <is>
          <t>—</t>
        </is>
      </c>
      <c r="H5" s="21" t="inlineStr">
        <is>
          <t>ISSUED|RECEIVED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cheques.cheque_type</t>
        </is>
      </c>
      <c r="L5" s="21" t="inlineStr">
        <is>
          <t>Toggle changes the form context. Issued = AP. Received = AR.</t>
        </is>
      </c>
      <c r="M5" s="22" t="inlineStr"/>
      <c r="N5" s="22" t="inlineStr"/>
    </row>
    <row r="6" ht="17" customHeight="1">
      <c r="A6" s="41" t="inlineStr">
        <is>
          <t xml:space="preserve">  ▸  frChequeForm  —  Cheque Details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4" t="n"/>
    </row>
    <row r="7" ht="15" customHeight="1">
      <c r="A7" s="42" t="inlineStr">
        <is>
          <t>txtChequeNumber</t>
        </is>
      </c>
      <c r="B7" s="21" t="inlineStr">
        <is>
          <t>txt</t>
        </is>
      </c>
      <c r="C7" s="21" t="inlineStr">
        <is>
          <t>frChequeForm</t>
        </is>
      </c>
      <c r="D7" s="21" t="inlineStr">
        <is>
          <t>Cheque Number *</t>
        </is>
      </c>
      <c r="E7" s="21" t="inlineStr">
        <is>
          <t>رقم الشيك *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Free text | unique per bank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cheques.cheque_number</t>
        </is>
      </c>
      <c r="L7" s="21" t="inlineStr"/>
      <c r="M7" s="22" t="inlineStr"/>
      <c r="N7" s="22" t="inlineStr"/>
    </row>
    <row r="8" ht="15" customHeight="1">
      <c r="A8" s="42" t="inlineStr">
        <is>
          <t>txtChequeDate</t>
        </is>
      </c>
      <c r="B8" s="7" t="inlineStr">
        <is>
          <t>txt</t>
        </is>
      </c>
      <c r="C8" s="7" t="inlineStr">
        <is>
          <t>frChequeForm</t>
        </is>
      </c>
      <c r="D8" s="7" t="inlineStr">
        <is>
          <t>Cheque Date *</t>
        </is>
      </c>
      <c r="E8" s="7" t="inlineStr">
        <is>
          <t>تاريخ الشيك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DD/MM/YYYY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cheques.cheque_date</t>
        </is>
      </c>
      <c r="L8" s="7" t="inlineStr"/>
      <c r="M8" s="22" t="inlineStr"/>
      <c r="N8" s="22" t="inlineStr"/>
    </row>
    <row r="9" ht="15" customHeight="1">
      <c r="A9" s="42" t="inlineStr">
        <is>
          <t>txtDueDate</t>
        </is>
      </c>
      <c r="B9" s="21" t="inlineStr">
        <is>
          <t>txt</t>
        </is>
      </c>
      <c r="C9" s="21" t="inlineStr">
        <is>
          <t>frChequeForm</t>
        </is>
      </c>
      <c r="D9" s="21" t="inlineStr">
        <is>
          <t>Due / Value Date</t>
        </is>
      </c>
      <c r="E9" s="21" t="inlineStr">
        <is>
          <t>تاريخ الاستحقاق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DD/MM/YYYY | ≥ cheque_date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cheques.due_date</t>
        </is>
      </c>
      <c r="L9" s="21" t="inlineStr">
        <is>
          <t>Post-dated cheque if future.</t>
        </is>
      </c>
      <c r="M9" s="22" t="inlineStr"/>
      <c r="N9" s="22" t="inlineStr"/>
    </row>
    <row r="10" ht="15" customHeight="1">
      <c r="A10" s="42" t="inlineStr">
        <is>
          <t>txtAmount</t>
        </is>
      </c>
      <c r="B10" s="7" t="inlineStr">
        <is>
          <t>txt</t>
        </is>
      </c>
      <c r="C10" s="7" t="inlineStr">
        <is>
          <t>frChequeForm</t>
        </is>
      </c>
      <c r="D10" s="7" t="inlineStr">
        <is>
          <t>Amount (SAR) *</t>
        </is>
      </c>
      <c r="E10" s="7" t="inlineStr">
        <is>
          <t>المبلغ *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#,##0.00 | &gt; 0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cheques.amount</t>
        </is>
      </c>
      <c r="L10" s="7" t="inlineStr"/>
      <c r="M10" s="22" t="inlineStr"/>
      <c r="N10" s="22" t="inlineStr"/>
    </row>
    <row r="11" ht="15" customHeight="1">
      <c r="A11" s="42" t="inlineStr">
        <is>
          <t>cboCurrency</t>
        </is>
      </c>
      <c r="B11" s="21" t="inlineStr">
        <is>
          <t>cbo</t>
        </is>
      </c>
      <c r="C11" s="21" t="inlineStr">
        <is>
          <t>frChequeForm</t>
        </is>
      </c>
      <c r="D11" s="21" t="inlineStr">
        <is>
          <t>Currency</t>
        </is>
      </c>
      <c r="E11" s="21" t="inlineStr">
        <is>
          <t>العملة</t>
        </is>
      </c>
      <c r="F11" s="21" t="inlineStr">
        <is>
          <t>Hardcoded</t>
        </is>
      </c>
      <c r="G11" s="21" t="inlineStr">
        <is>
          <t>—</t>
        </is>
      </c>
      <c r="H11" s="21" t="inlineStr">
        <is>
          <t>SAR|USD|EUR|GBP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cheques.currency</t>
        </is>
      </c>
      <c r="L11" s="21" t="inlineStr">
        <is>
          <t>Default SAR.</t>
        </is>
      </c>
      <c r="M11" s="22" t="inlineStr"/>
      <c r="N11" s="22" t="inlineStr"/>
    </row>
    <row r="12" ht="15" customHeight="1">
      <c r="A12" s="42" t="inlineStr">
        <is>
          <t>txtBankName</t>
        </is>
      </c>
      <c r="B12" s="7" t="inlineStr">
        <is>
          <t>txt</t>
        </is>
      </c>
      <c r="C12" s="7" t="inlineStr">
        <is>
          <t>frChequeForm</t>
        </is>
      </c>
      <c r="D12" s="7" t="inlineStr">
        <is>
          <t>Bank Name *</t>
        </is>
      </c>
      <c r="E12" s="7" t="inlineStr">
        <is>
          <t>اسم البنك *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cheques.bank_name</t>
        </is>
      </c>
      <c r="L12" s="7" t="inlineStr"/>
      <c r="M12" s="22" t="inlineStr"/>
      <c r="N12" s="22" t="inlineStr"/>
    </row>
    <row r="13" ht="15" customHeight="1">
      <c r="A13" s="42" t="inlineStr">
        <is>
          <t>txtBankAccount</t>
        </is>
      </c>
      <c r="B13" s="21" t="inlineStr">
        <is>
          <t>txt</t>
        </is>
      </c>
      <c r="C13" s="21" t="inlineStr">
        <is>
          <t>frChequeForm</t>
        </is>
      </c>
      <c r="D13" s="21" t="inlineStr">
        <is>
          <t>Bank Account No</t>
        </is>
      </c>
      <c r="E13" s="21" t="inlineStr">
        <is>
          <t>رقم الحساب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Free text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cheques.bank_account</t>
        </is>
      </c>
      <c r="L13" s="21" t="inlineStr"/>
      <c r="M13" s="22" t="inlineStr"/>
      <c r="N13" s="22" t="inlineStr"/>
    </row>
    <row r="14" ht="15" customHeight="1">
      <c r="A14" s="42" t="inlineStr">
        <is>
          <t>txtPayeeName</t>
        </is>
      </c>
      <c r="B14" s="7" t="inlineStr">
        <is>
          <t>txt</t>
        </is>
      </c>
      <c r="C14" s="7" t="inlineStr">
        <is>
          <t>frChequeForm</t>
        </is>
      </c>
      <c r="D14" s="7" t="inlineStr">
        <is>
          <t>Payee Name *</t>
        </is>
      </c>
      <c r="E14" s="7" t="inlineStr">
        <is>
          <t>اسم المستفيد *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cheques.payee_name</t>
        </is>
      </c>
      <c r="L14" s="7" t="inlineStr"/>
      <c r="M14" s="22" t="inlineStr"/>
      <c r="N14" s="22" t="inlineStr"/>
    </row>
    <row r="15" ht="15" customHeight="1">
      <c r="A15" s="42" t="inlineStr">
        <is>
          <t>txtDrawerName</t>
        </is>
      </c>
      <c r="B15" s="21" t="inlineStr">
        <is>
          <t>txt</t>
        </is>
      </c>
      <c r="C15" s="21" t="inlineStr">
        <is>
          <t>frChequeForm</t>
        </is>
      </c>
      <c r="D15" s="21" t="inlineStr">
        <is>
          <t>Drawer Name</t>
        </is>
      </c>
      <c r="E15" s="21" t="inlineStr">
        <is>
          <t>اسم الساحب</t>
        </is>
      </c>
      <c r="F15" s="21" t="inlineStr">
        <is>
          <t>User/auto from entity</t>
        </is>
      </c>
      <c r="G15" s="21" t="inlineStr">
        <is>
          <t>—</t>
        </is>
      </c>
      <c r="H15" s="21" t="inlineStr">
        <is>
          <t>Free text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cheques.drawer_name</t>
        </is>
      </c>
      <c r="L15" s="21" t="inlineStr"/>
      <c r="M15" s="22" t="inlineStr"/>
      <c r="N15" s="22" t="inlineStr"/>
    </row>
    <row r="16" ht="15" customHeight="1">
      <c r="A16" s="42" t="inlineStr">
        <is>
          <t>txtPartyAccCode</t>
        </is>
      </c>
      <c r="B16" s="7" t="inlineStr">
        <is>
          <t>txt</t>
        </is>
      </c>
      <c r="C16" s="7" t="inlineStr">
        <is>
          <t>frChequeForm</t>
        </is>
      </c>
      <c r="D16" s="7" t="inlineStr">
        <is>
          <t>Party Account Code</t>
        </is>
      </c>
      <c r="E16" s="7" t="inlineStr">
        <is>
          <t>كود حساب الطرف</t>
        </is>
      </c>
      <c r="F16" s="7" t="inlineStr">
        <is>
          <t>chart_of_accounts</t>
        </is>
      </c>
      <c r="G16" s="7" t="inlineStr">
        <is>
          <t>—</t>
        </is>
      </c>
      <c r="H16" s="7" t="inlineStr">
        <is>
          <t>Type-ahead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cheques.party_account_code</t>
        </is>
      </c>
      <c r="L16" s="7" t="inlineStr"/>
      <c r="M16" s="22" t="inlineStr"/>
      <c r="N16" s="22" t="inlineStr"/>
    </row>
    <row r="17" ht="15" customHeight="1">
      <c r="A17" s="42" t="inlineStr">
        <is>
          <t>txtGLAccCode</t>
        </is>
      </c>
      <c r="B17" s="21" t="inlineStr">
        <is>
          <t>txt</t>
        </is>
      </c>
      <c r="C17" s="21" t="inlineStr">
        <is>
          <t>frChequeForm</t>
        </is>
      </c>
      <c r="D17" s="21" t="inlineStr">
        <is>
          <t>GL Account Code</t>
        </is>
      </c>
      <c r="E17" s="21" t="inlineStr">
        <is>
          <t>كود حساب دفتر الأستاذ</t>
        </is>
      </c>
      <c r="F17" s="21" t="inlineStr">
        <is>
          <t>chart_of_accounts</t>
        </is>
      </c>
      <c r="G17" s="21" t="inlineStr">
        <is>
          <t>—</t>
        </is>
      </c>
      <c r="H17" s="21" t="inlineStr">
        <is>
          <t>Type-ahead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cheques.gl_account_code</t>
        </is>
      </c>
      <c r="L17" s="21" t="inlineStr"/>
      <c r="M17" s="22" t="inlineStr"/>
      <c r="N17" s="22" t="inlineStr"/>
    </row>
    <row r="18" ht="15" customHeight="1">
      <c r="A18" s="42" t="inlineStr">
        <is>
          <t>txtReference</t>
        </is>
      </c>
      <c r="B18" s="7" t="inlineStr">
        <is>
          <t>txt</t>
        </is>
      </c>
      <c r="C18" s="7" t="inlineStr">
        <is>
          <t>frChequeForm</t>
        </is>
      </c>
      <c r="D18" s="7" t="inlineStr">
        <is>
          <t>Reference</t>
        </is>
      </c>
      <c r="E18" s="7" t="inlineStr">
        <is>
          <t>المرجع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Invoice No or PO No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cheques.reference</t>
        </is>
      </c>
      <c r="L18" s="7" t="inlineStr"/>
      <c r="M18" s="22" t="inlineStr"/>
      <c r="N18" s="22" t="inlineStr"/>
    </row>
    <row r="19" ht="15" customHeight="1">
      <c r="A19" s="42" t="inlineStr">
        <is>
          <t>txtDescription</t>
        </is>
      </c>
      <c r="B19" s="21" t="inlineStr">
        <is>
          <t>txt</t>
        </is>
      </c>
      <c r="C19" s="21" t="inlineStr">
        <is>
          <t>frChequeForm</t>
        </is>
      </c>
      <c r="D19" s="21" t="inlineStr">
        <is>
          <t>Description</t>
        </is>
      </c>
      <c r="E19" s="21" t="inlineStr">
        <is>
          <t>البيان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Free text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cheques.description</t>
        </is>
      </c>
      <c r="L19" s="21" t="inlineStr"/>
      <c r="M19" s="22" t="inlineStr"/>
      <c r="N19" s="22" t="inlineStr"/>
    </row>
    <row r="20" ht="15" customHeight="1">
      <c r="A20" s="42" t="inlineStr">
        <is>
          <t>cboDepartment</t>
        </is>
      </c>
      <c r="B20" s="7" t="inlineStr">
        <is>
          <t>cbo</t>
        </is>
      </c>
      <c r="C20" s="7" t="inlineStr">
        <is>
          <t>frChequeForm</t>
        </is>
      </c>
      <c r="D20" s="7" t="inlineStr">
        <is>
          <t>Department</t>
        </is>
      </c>
      <c r="E20" s="7" t="inlineStr">
        <is>
          <t>القسم</t>
        </is>
      </c>
      <c r="F20" s="7" t="inlineStr">
        <is>
          <t>departments WHERE entity_id</t>
        </is>
      </c>
      <c r="G20" s="7" t="inlineStr">
        <is>
          <t>—</t>
        </is>
      </c>
      <c r="H20" s="7" t="inlineStr">
        <is>
          <t>dept_code | UUID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cheques.department</t>
        </is>
      </c>
      <c r="L20" s="7" t="inlineStr"/>
      <c r="M20" s="22" t="inlineStr"/>
      <c r="N20" s="22" t="inlineStr"/>
    </row>
    <row r="21" ht="15" customHeight="1">
      <c r="A21" s="42" t="inlineStr">
        <is>
          <t>cboStatus</t>
        </is>
      </c>
      <c r="B21" s="21" t="inlineStr">
        <is>
          <t>cbo</t>
        </is>
      </c>
      <c r="C21" s="21" t="inlineStr">
        <is>
          <t>frChequeForm</t>
        </is>
      </c>
      <c r="D21" s="21" t="inlineStr">
        <is>
          <t>Status</t>
        </is>
      </c>
      <c r="E21" s="21" t="inlineStr">
        <is>
          <t>الحالة</t>
        </is>
      </c>
      <c r="F21" s="21" t="inlineStr">
        <is>
          <t>Hardcoded</t>
        </is>
      </c>
      <c r="G21" s="21" t="inlineStr">
        <is>
          <t>—</t>
        </is>
      </c>
      <c r="H21" s="21" t="inlineStr">
        <is>
          <t>PENDING|PRESENTED|CLEARED|BOUNCED|CANCELLED|REPLACED</t>
        </is>
      </c>
      <c r="I21" s="21" t="inlineStr">
        <is>
          <t>Y</t>
        </is>
      </c>
      <c r="J21" s="21" t="inlineStr">
        <is>
          <t>N</t>
        </is>
      </c>
      <c r="K21" s="21" t="inlineStr">
        <is>
          <t>cheques.status</t>
        </is>
      </c>
      <c r="L21" s="21" t="inlineStr">
        <is>
          <t>Default PENDING on creation.</t>
        </is>
      </c>
      <c r="M21" s="22" t="inlineStr"/>
      <c r="N21" s="22" t="inlineStr"/>
    </row>
  </sheetData>
  <mergeCells count="4">
    <mergeCell ref="A4:N4"/>
    <mergeCell ref="A6:N6"/>
    <mergeCell ref="A2:N2"/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frmFixedAssets  —  Fixed Assets Register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frAssetForm  —  Asset Master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txtAssetCode</t>
        </is>
      </c>
      <c r="B5" s="21" t="inlineStr">
        <is>
          <t>txt</t>
        </is>
      </c>
      <c r="C5" s="21" t="inlineStr">
        <is>
          <t>frAssetForm</t>
        </is>
      </c>
      <c r="D5" s="21" t="inlineStr">
        <is>
          <t>Asset Code *</t>
        </is>
      </c>
      <c r="E5" s="21" t="inlineStr">
        <is>
          <t>كود الأصل *</t>
        </is>
      </c>
      <c r="F5" s="21" t="inlineStr">
        <is>
          <t>User / auto</t>
        </is>
      </c>
      <c r="G5" s="21" t="inlineStr">
        <is>
          <t>—</t>
        </is>
      </c>
      <c r="H5" s="21" t="inlineStr">
        <is>
          <t>Unique per entity. e.g. AST-0001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fixed_assets.asset_code</t>
        </is>
      </c>
      <c r="L5" s="21" t="inlineStr"/>
      <c r="M5" s="22" t="inlineStr"/>
      <c r="N5" s="22" t="inlineStr"/>
    </row>
    <row r="6" ht="15" customHeight="1">
      <c r="A6" s="42" t="inlineStr">
        <is>
          <t>txtAssetName</t>
        </is>
      </c>
      <c r="B6" s="7" t="inlineStr">
        <is>
          <t>txt</t>
        </is>
      </c>
      <c r="C6" s="7" t="inlineStr">
        <is>
          <t>frAssetForm</t>
        </is>
      </c>
      <c r="D6" s="7" t="inlineStr">
        <is>
          <t>Asset Name *</t>
        </is>
      </c>
      <c r="E6" s="7" t="inlineStr">
        <is>
          <t>اسم الأصل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Free text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fixed_assets.asset_name</t>
        </is>
      </c>
      <c r="L6" s="7" t="inlineStr"/>
      <c r="M6" s="22" t="inlineStr"/>
      <c r="N6" s="22" t="inlineStr"/>
    </row>
    <row r="7" ht="15" customHeight="1">
      <c r="A7" s="42" t="inlineStr">
        <is>
          <t>cboCategory</t>
        </is>
      </c>
      <c r="B7" s="21" t="inlineStr">
        <is>
          <t>cbo</t>
        </is>
      </c>
      <c r="C7" s="21" t="inlineStr">
        <is>
          <t>frAssetForm</t>
        </is>
      </c>
      <c r="D7" s="21" t="inlineStr">
        <is>
          <t>Category *</t>
        </is>
      </c>
      <c r="E7" s="21" t="inlineStr">
        <is>
          <t>الفئة *</t>
        </is>
      </c>
      <c r="F7" s="21" t="inlineStr">
        <is>
          <t>Hardcoded</t>
        </is>
      </c>
      <c r="G7" s="21" t="inlineStr">
        <is>
          <t>—</t>
        </is>
      </c>
      <c r="H7" s="21" t="inlineStr">
        <is>
          <t>EQUIPMENT|VEHICLE|FURNITURE|IT_HARDWARE|BUILDING|OTHER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fixed_assets.category</t>
        </is>
      </c>
      <c r="L7" s="21" t="inlineStr"/>
      <c r="M7" s="22" t="inlineStr"/>
      <c r="N7" s="22" t="inlineStr"/>
    </row>
    <row r="8" ht="15" customHeight="1">
      <c r="A8" s="42" t="inlineStr">
        <is>
          <t>txtPurchaseDate</t>
        </is>
      </c>
      <c r="B8" s="7" t="inlineStr">
        <is>
          <t>txt</t>
        </is>
      </c>
      <c r="C8" s="7" t="inlineStr">
        <is>
          <t>frAssetForm</t>
        </is>
      </c>
      <c r="D8" s="7" t="inlineStr">
        <is>
          <t>Purchase Date *</t>
        </is>
      </c>
      <c r="E8" s="7" t="inlineStr">
        <is>
          <t>تاريخ الشراء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DD/MM/YYYY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fixed_assets.purchase_date</t>
        </is>
      </c>
      <c r="L8" s="7" t="inlineStr"/>
      <c r="M8" s="22" t="inlineStr"/>
      <c r="N8" s="22" t="inlineStr"/>
    </row>
    <row r="9" ht="15" customHeight="1">
      <c r="A9" s="42" t="inlineStr">
        <is>
          <t>txtPurchaseCost</t>
        </is>
      </c>
      <c r="B9" s="21" t="inlineStr">
        <is>
          <t>txt</t>
        </is>
      </c>
      <c r="C9" s="21" t="inlineStr">
        <is>
          <t>frAssetForm</t>
        </is>
      </c>
      <c r="D9" s="21" t="inlineStr">
        <is>
          <t>Purchase Cost (SAR) *</t>
        </is>
      </c>
      <c r="E9" s="21" t="inlineStr">
        <is>
          <t>تكلفة الشراء *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#,##0.00 | &gt; 0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fixed_assets.purchase_cost</t>
        </is>
      </c>
      <c r="L9" s="21" t="inlineStr"/>
      <c r="M9" s="22" t="inlineStr"/>
      <c r="N9" s="22" t="inlineStr"/>
    </row>
    <row r="10" ht="15" customHeight="1">
      <c r="A10" s="42" t="inlineStr">
        <is>
          <t>txtResidualValue</t>
        </is>
      </c>
      <c r="B10" s="7" t="inlineStr">
        <is>
          <t>txt</t>
        </is>
      </c>
      <c r="C10" s="7" t="inlineStr">
        <is>
          <t>frAssetForm</t>
        </is>
      </c>
      <c r="D10" s="7" t="inlineStr">
        <is>
          <t>Residual Value (SAR)</t>
        </is>
      </c>
      <c r="E10" s="7" t="inlineStr">
        <is>
          <t>القيمة المتبقية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#,##0.00 | Default 0 | ≤ cost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fixed_assets.residual_value</t>
        </is>
      </c>
      <c r="L10" s="7" t="inlineStr"/>
      <c r="M10" s="22" t="inlineStr"/>
      <c r="N10" s="22" t="inlineStr"/>
    </row>
    <row r="11" ht="15" customHeight="1">
      <c r="A11" s="42" t="inlineStr">
        <is>
          <t>txtSupplierName</t>
        </is>
      </c>
      <c r="B11" s="21" t="inlineStr">
        <is>
          <t>txt</t>
        </is>
      </c>
      <c r="C11" s="21" t="inlineStr">
        <is>
          <t>frAssetForm</t>
        </is>
      </c>
      <c r="D11" s="21" t="inlineStr">
        <is>
          <t>Supplier Name</t>
        </is>
      </c>
      <c r="E11" s="21" t="inlineStr">
        <is>
          <t>اسم المورد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Free text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fixed_assets.supplier_name</t>
        </is>
      </c>
      <c r="L11" s="21" t="inlineStr"/>
      <c r="M11" s="22" t="inlineStr"/>
      <c r="N11" s="22" t="inlineStr"/>
    </row>
    <row r="12" ht="15" customHeight="1">
      <c r="A12" s="42" t="inlineStr">
        <is>
          <t>txtInvoiceRef</t>
        </is>
      </c>
      <c r="B12" s="7" t="inlineStr">
        <is>
          <t>txt</t>
        </is>
      </c>
      <c r="C12" s="7" t="inlineStr">
        <is>
          <t>frAssetForm</t>
        </is>
      </c>
      <c r="D12" s="7" t="inlineStr">
        <is>
          <t>Invoice Reference</t>
        </is>
      </c>
      <c r="E12" s="7" t="inlineStr">
        <is>
          <t>مرجع الفاتورة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fixed_assets.invoice_reference</t>
        </is>
      </c>
      <c r="L12" s="7" t="inlineStr"/>
      <c r="M12" s="22" t="inlineStr"/>
      <c r="N12" s="22" t="inlineStr"/>
    </row>
    <row r="13" ht="17" customHeight="1">
      <c r="A13" s="41" t="inlineStr">
        <is>
          <t xml:space="preserve">  ▸  frDepreciation  —  Depreciation Settings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4" t="n"/>
    </row>
    <row r="14" ht="15" customHeight="1">
      <c r="A14" s="42" t="inlineStr">
        <is>
          <t>cboDeprMethod</t>
        </is>
      </c>
      <c r="B14" s="7" t="inlineStr">
        <is>
          <t>cbo</t>
        </is>
      </c>
      <c r="C14" s="7" t="inlineStr">
        <is>
          <t>frDepreciation</t>
        </is>
      </c>
      <c r="D14" s="7" t="inlineStr">
        <is>
          <t>Depreciation Method *</t>
        </is>
      </c>
      <c r="E14" s="7" t="inlineStr">
        <is>
          <t>طريقة الاستهلاك *</t>
        </is>
      </c>
      <c r="F14" s="7" t="inlineStr">
        <is>
          <t>Hardcoded</t>
        </is>
      </c>
      <c r="G14" s="7" t="inlineStr">
        <is>
          <t>—</t>
        </is>
      </c>
      <c r="H14" s="7" t="inlineStr">
        <is>
          <t>STRAIGHT_LINE|DECLINING_BALANCE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fixed_assets.depreciation_method</t>
        </is>
      </c>
      <c r="L14" s="7" t="inlineStr"/>
      <c r="M14" s="22" t="inlineStr"/>
      <c r="N14" s="22" t="inlineStr"/>
    </row>
    <row r="15" ht="15" customHeight="1">
      <c r="A15" s="42" t="inlineStr">
        <is>
          <t>txtUsefulLife</t>
        </is>
      </c>
      <c r="B15" s="21" t="inlineStr">
        <is>
          <t>txt</t>
        </is>
      </c>
      <c r="C15" s="21" t="inlineStr">
        <is>
          <t>frDepreciation</t>
        </is>
      </c>
      <c r="D15" s="21" t="inlineStr">
        <is>
          <t>Useful Life (months) *</t>
        </is>
      </c>
      <c r="E15" s="21" t="inlineStr">
        <is>
          <t>العمر الإنتاجي (شهور) *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Integer | Default 60</t>
        </is>
      </c>
      <c r="I15" s="21" t="inlineStr">
        <is>
          <t>Y</t>
        </is>
      </c>
      <c r="J15" s="21" t="inlineStr">
        <is>
          <t>N</t>
        </is>
      </c>
      <c r="K15" s="21" t="inlineStr">
        <is>
          <t>fixed_assets.useful_life_months</t>
        </is>
      </c>
      <c r="L15" s="21" t="inlineStr"/>
      <c r="M15" s="22" t="inlineStr"/>
      <c r="N15" s="22" t="inlineStr"/>
    </row>
    <row r="16" ht="15" customHeight="1">
      <c r="A16" s="42" t="inlineStr">
        <is>
          <t>txtDeprRate</t>
        </is>
      </c>
      <c r="B16" s="7" t="inlineStr">
        <is>
          <t>txt</t>
        </is>
      </c>
      <c r="C16" s="7" t="inlineStr">
        <is>
          <t>frDepreciation</t>
        </is>
      </c>
      <c r="D16" s="7" t="inlineStr">
        <is>
          <t>Depreciation Rate (% p.a.)</t>
        </is>
      </c>
      <c r="E16" s="7" t="inlineStr">
        <is>
          <t>معدل الاستهلاك</t>
        </is>
      </c>
      <c r="F16" s="7">
        <f> 1/useful_life_years</f>
        <v/>
      </c>
      <c r="G16" s="7" t="inlineStr">
        <is>
          <t>—</t>
        </is>
      </c>
      <c r="H16" s="7" t="inlineStr">
        <is>
          <t>#0.00% | auto for SL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fixed_assets.depreciation_rate</t>
        </is>
      </c>
      <c r="L16" s="7" t="inlineStr">
        <is>
          <t>Auto for SL method. Manual for DB.</t>
        </is>
      </c>
      <c r="M16" s="22" t="inlineStr"/>
      <c r="N16" s="22" t="inlineStr"/>
    </row>
    <row r="17" ht="17" customHeight="1">
      <c r="A17" s="41" t="inlineStr">
        <is>
          <t xml:space="preserve">  ▸  frAssetLocation  —  Location &amp; Assignment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 t="n"/>
    </row>
    <row r="18" ht="15" customHeight="1">
      <c r="A18" s="42" t="inlineStr">
        <is>
          <t>cboDepartment</t>
        </is>
      </c>
      <c r="B18" s="7" t="inlineStr">
        <is>
          <t>cbo</t>
        </is>
      </c>
      <c r="C18" s="7" t="inlineStr">
        <is>
          <t>frAssetLocation</t>
        </is>
      </c>
      <c r="D18" s="7" t="inlineStr">
        <is>
          <t>Department</t>
        </is>
      </c>
      <c r="E18" s="7" t="inlineStr">
        <is>
          <t>القسم</t>
        </is>
      </c>
      <c r="F18" s="7" t="inlineStr">
        <is>
          <t>departments WHERE entity_id</t>
        </is>
      </c>
      <c r="G18" s="7" t="inlineStr">
        <is>
          <t>—</t>
        </is>
      </c>
      <c r="H18" s="7" t="inlineStr">
        <is>
          <t>dept_code | UUID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fixed_assets.department</t>
        </is>
      </c>
      <c r="L18" s="7" t="inlineStr"/>
      <c r="M18" s="22" t="inlineStr"/>
      <c r="N18" s="22" t="inlineStr"/>
    </row>
    <row r="19" ht="15" customHeight="1">
      <c r="A19" s="42" t="inlineStr">
        <is>
          <t>txtLocation</t>
        </is>
      </c>
      <c r="B19" s="21" t="inlineStr">
        <is>
          <t>txt</t>
        </is>
      </c>
      <c r="C19" s="21" t="inlineStr">
        <is>
          <t>frAssetLocation</t>
        </is>
      </c>
      <c r="D19" s="21" t="inlineStr">
        <is>
          <t>Physical Location</t>
        </is>
      </c>
      <c r="E19" s="21" t="inlineStr">
        <is>
          <t>الموقع الفعلي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Free text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fixed_assets.location</t>
        </is>
      </c>
      <c r="L19" s="21" t="inlineStr"/>
      <c r="M19" s="22" t="inlineStr"/>
      <c r="N19" s="22" t="inlineStr"/>
    </row>
    <row r="20" ht="15" customHeight="1">
      <c r="A20" s="42" t="inlineStr">
        <is>
          <t>txtAssignedTo</t>
        </is>
      </c>
      <c r="B20" s="7" t="inlineStr">
        <is>
          <t>txt</t>
        </is>
      </c>
      <c r="C20" s="7" t="inlineStr">
        <is>
          <t>frAssetLocation</t>
        </is>
      </c>
      <c r="D20" s="7" t="inlineStr">
        <is>
          <t>Assigned To (Employee)</t>
        </is>
      </c>
      <c r="E20" s="7" t="inlineStr">
        <is>
          <t>مخصص لموظف</t>
        </is>
      </c>
      <c r="F20" s="7" t="inlineStr">
        <is>
          <t>User or employee search</t>
        </is>
      </c>
      <c r="G20" s="7" t="inlineStr">
        <is>
          <t>—</t>
        </is>
      </c>
      <c r="H20" s="7" t="inlineStr">
        <is>
          <t>Free text / UUID</t>
        </is>
      </c>
      <c r="I20" s="7" t="inlineStr">
        <is>
          <t>N</t>
        </is>
      </c>
      <c r="J20" s="7" t="inlineStr">
        <is>
          <t>N</t>
        </is>
      </c>
      <c r="K20" s="7" t="inlineStr">
        <is>
          <t>fixed_assets.assigned_to</t>
        </is>
      </c>
      <c r="L20" s="7" t="inlineStr"/>
      <c r="M20" s="22" t="inlineStr"/>
      <c r="N20" s="22" t="inlineStr"/>
    </row>
    <row r="21" ht="15" customHeight="1">
      <c r="A21" s="42" t="inlineStr">
        <is>
          <t>txtSerial</t>
        </is>
      </c>
      <c r="B21" s="21" t="inlineStr">
        <is>
          <t>txt</t>
        </is>
      </c>
      <c r="C21" s="21" t="inlineStr">
        <is>
          <t>frAssetLocation</t>
        </is>
      </c>
      <c r="D21" s="21" t="inlineStr">
        <is>
          <t>Serial Number</t>
        </is>
      </c>
      <c r="E21" s="21" t="inlineStr">
        <is>
          <t>الرقم التسلسلي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Free text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fixed_assets.serial_number</t>
        </is>
      </c>
      <c r="L21" s="21" t="inlineStr"/>
      <c r="M21" s="22" t="inlineStr"/>
      <c r="N21" s="22" t="inlineStr"/>
    </row>
    <row r="22" ht="17" customHeight="1">
      <c r="A22" s="41" t="inlineStr">
        <is>
          <t xml:space="preserve">  ▸  frAssetGL  —  GL Account Codes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4" t="n"/>
    </row>
    <row r="23" ht="15" customHeight="1">
      <c r="A23" s="42" t="inlineStr">
        <is>
          <t>txtAssetAccCode</t>
        </is>
      </c>
      <c r="B23" s="21" t="inlineStr">
        <is>
          <t>txt</t>
        </is>
      </c>
      <c r="C23" s="21" t="inlineStr">
        <is>
          <t>frAssetGL</t>
        </is>
      </c>
      <c r="D23" s="21" t="inlineStr">
        <is>
          <t>Asset Account Code *</t>
        </is>
      </c>
      <c r="E23" s="21" t="inlineStr">
        <is>
          <t>كود حساب الأصل *</t>
        </is>
      </c>
      <c r="F23" s="21" t="inlineStr">
        <is>
          <t>chart_of_accounts</t>
        </is>
      </c>
      <c r="G23" s="21" t="inlineStr">
        <is>
          <t>—</t>
        </is>
      </c>
      <c r="H23" s="21" t="inlineStr">
        <is>
          <t>Type-ahead</t>
        </is>
      </c>
      <c r="I23" s="21" t="inlineStr">
        <is>
          <t>Y</t>
        </is>
      </c>
      <c r="J23" s="21" t="inlineStr">
        <is>
          <t>N</t>
        </is>
      </c>
      <c r="K23" s="21" t="inlineStr">
        <is>
          <t>fixed_assets.asset_account_code</t>
        </is>
      </c>
      <c r="L23" s="21" t="inlineStr"/>
      <c r="M23" s="22" t="inlineStr"/>
      <c r="N23" s="22" t="inlineStr"/>
    </row>
    <row r="24" ht="15" customHeight="1">
      <c r="A24" s="42" t="inlineStr">
        <is>
          <t>txtAccumDeprAcc</t>
        </is>
      </c>
      <c r="B24" s="7" t="inlineStr">
        <is>
          <t>txt</t>
        </is>
      </c>
      <c r="C24" s="7" t="inlineStr">
        <is>
          <t>frAssetGL</t>
        </is>
      </c>
      <c r="D24" s="7" t="inlineStr">
        <is>
          <t>Accum. Depreciation Account *</t>
        </is>
      </c>
      <c r="E24" s="7" t="inlineStr">
        <is>
          <t>حساب مجمع الاستهلاك *</t>
        </is>
      </c>
      <c r="F24" s="7" t="inlineStr">
        <is>
          <t>chart_of_accounts</t>
        </is>
      </c>
      <c r="G24" s="7" t="inlineStr">
        <is>
          <t>—</t>
        </is>
      </c>
      <c r="H24" s="7" t="inlineStr">
        <is>
          <t>Type-ahead</t>
        </is>
      </c>
      <c r="I24" s="7" t="inlineStr">
        <is>
          <t>Y</t>
        </is>
      </c>
      <c r="J24" s="7" t="inlineStr">
        <is>
          <t>N</t>
        </is>
      </c>
      <c r="K24" s="7" t="inlineStr">
        <is>
          <t>fixed_assets.accum_depr_account</t>
        </is>
      </c>
      <c r="L24" s="7" t="inlineStr"/>
      <c r="M24" s="22" t="inlineStr"/>
      <c r="N24" s="22" t="inlineStr"/>
    </row>
    <row r="25" ht="15" customHeight="1">
      <c r="A25" s="42" t="inlineStr">
        <is>
          <t>txtDeprExpAcc</t>
        </is>
      </c>
      <c r="B25" s="21" t="inlineStr">
        <is>
          <t>txt</t>
        </is>
      </c>
      <c r="C25" s="21" t="inlineStr">
        <is>
          <t>frAssetGL</t>
        </is>
      </c>
      <c r="D25" s="21" t="inlineStr">
        <is>
          <t>Depreciation Expense Account *</t>
        </is>
      </c>
      <c r="E25" s="21" t="inlineStr">
        <is>
          <t>حساب مصروف الاستهلاك *</t>
        </is>
      </c>
      <c r="F25" s="21" t="inlineStr">
        <is>
          <t>chart_of_accounts</t>
        </is>
      </c>
      <c r="G25" s="21" t="inlineStr">
        <is>
          <t>—</t>
        </is>
      </c>
      <c r="H25" s="21" t="inlineStr">
        <is>
          <t>Type-ahead</t>
        </is>
      </c>
      <c r="I25" s="21" t="inlineStr">
        <is>
          <t>Y</t>
        </is>
      </c>
      <c r="J25" s="21" t="inlineStr">
        <is>
          <t>N</t>
        </is>
      </c>
      <c r="K25" s="21" t="inlineStr">
        <is>
          <t>fixed_assets.depr_expense_account</t>
        </is>
      </c>
      <c r="L25" s="21" t="inlineStr"/>
      <c r="M25" s="22" t="inlineStr"/>
      <c r="N25" s="22" t="inlineStr"/>
    </row>
    <row r="26" ht="17" customHeight="1">
      <c r="A26" s="41" t="inlineStr">
        <is>
          <t xml:space="preserve">  ▸  frAssetStatus  —  Status &amp; Disposal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4" t="n"/>
    </row>
    <row r="27" ht="15" customHeight="1">
      <c r="A27" s="42" t="inlineStr">
        <is>
          <t>cboStatus</t>
        </is>
      </c>
      <c r="B27" s="21" t="inlineStr">
        <is>
          <t>cbo</t>
        </is>
      </c>
      <c r="C27" s="21" t="inlineStr">
        <is>
          <t>frAssetStatus</t>
        </is>
      </c>
      <c r="D27" s="21" t="inlineStr">
        <is>
          <t>Status</t>
        </is>
      </c>
      <c r="E27" s="21" t="inlineStr">
        <is>
          <t>الحالة</t>
        </is>
      </c>
      <c r="F27" s="21" t="inlineStr">
        <is>
          <t>Hardcoded</t>
        </is>
      </c>
      <c r="G27" s="21" t="inlineStr">
        <is>
          <t>—</t>
        </is>
      </c>
      <c r="H27" s="21" t="inlineStr">
        <is>
          <t>ACTIVE|DISPOSED|SOLD|WRITTEN_OFF|UNDER_REPAIR</t>
        </is>
      </c>
      <c r="I27" s="21" t="inlineStr">
        <is>
          <t>Y</t>
        </is>
      </c>
      <c r="J27" s="21" t="inlineStr">
        <is>
          <t>N</t>
        </is>
      </c>
      <c r="K27" s="21" t="inlineStr">
        <is>
          <t>fixed_assets.status</t>
        </is>
      </c>
      <c r="L27" s="21" t="inlineStr">
        <is>
          <t>Default ACTIVE.</t>
        </is>
      </c>
      <c r="M27" s="22" t="inlineStr"/>
      <c r="N27" s="22" t="inlineStr"/>
    </row>
    <row r="28" ht="15" customHeight="1">
      <c r="A28" s="42" t="inlineStr">
        <is>
          <t>txtDisposalDate</t>
        </is>
      </c>
      <c r="B28" s="7" t="inlineStr">
        <is>
          <t>txt</t>
        </is>
      </c>
      <c r="C28" s="7" t="inlineStr">
        <is>
          <t>frAssetStatus</t>
        </is>
      </c>
      <c r="D28" s="7" t="inlineStr">
        <is>
          <t>Disposal Date</t>
        </is>
      </c>
      <c r="E28" s="7" t="inlineStr">
        <is>
          <t>تاريخ الاستبعاد</t>
        </is>
      </c>
      <c r="F28" s="7" t="inlineStr">
        <is>
          <t>User</t>
        </is>
      </c>
      <c r="G28" s="7" t="inlineStr">
        <is>
          <t>cboStatus=DISPOSED/SOLD</t>
        </is>
      </c>
      <c r="H28" s="7" t="inlineStr">
        <is>
          <t>DD/MM/YYYY</t>
        </is>
      </c>
      <c r="I28" s="7" t="inlineStr">
        <is>
          <t>N</t>
        </is>
      </c>
      <c r="J28" s="7" t="inlineStr">
        <is>
          <t>N</t>
        </is>
      </c>
      <c r="K28" s="7" t="inlineStr">
        <is>
          <t>fixed_assets.disposal_date</t>
        </is>
      </c>
      <c r="L28" s="7" t="inlineStr">
        <is>
          <t>Visible when status = DISPOSED or SOLD.</t>
        </is>
      </c>
      <c r="M28" s="22" t="inlineStr"/>
      <c r="N28" s="22" t="inlineStr"/>
    </row>
    <row r="29" ht="15" customHeight="1">
      <c r="A29" s="42" t="inlineStr">
        <is>
          <t>txtDisposalProceeds</t>
        </is>
      </c>
      <c r="B29" s="21" t="inlineStr">
        <is>
          <t>txt</t>
        </is>
      </c>
      <c r="C29" s="21" t="inlineStr">
        <is>
          <t>frAssetStatus</t>
        </is>
      </c>
      <c r="D29" s="21" t="inlineStr">
        <is>
          <t>Disposal Proceeds (SAR)</t>
        </is>
      </c>
      <c r="E29" s="21" t="inlineStr">
        <is>
          <t>عائد الاستبعاد</t>
        </is>
      </c>
      <c r="F29" s="21" t="inlineStr">
        <is>
          <t>User</t>
        </is>
      </c>
      <c r="G29" s="21" t="inlineStr">
        <is>
          <t>cboStatus=SOLD</t>
        </is>
      </c>
      <c r="H29" s="21" t="inlineStr">
        <is>
          <t>#,##0.00</t>
        </is>
      </c>
      <c r="I29" s="21" t="inlineStr">
        <is>
          <t>N</t>
        </is>
      </c>
      <c r="J29" s="21" t="inlineStr">
        <is>
          <t>N</t>
        </is>
      </c>
      <c r="K29" s="21" t="inlineStr">
        <is>
          <t>fixed_assets.disposal_proceeds</t>
        </is>
      </c>
      <c r="L29" s="21" t="inlineStr"/>
      <c r="M29" s="22" t="inlineStr"/>
      <c r="N29" s="22" t="inlineStr"/>
    </row>
    <row r="30" ht="15" customHeight="1">
      <c r="A30" s="42" t="inlineStr">
        <is>
          <t>txtDisposalNotes</t>
        </is>
      </c>
      <c r="B30" s="7" t="inlineStr">
        <is>
          <t>txt</t>
        </is>
      </c>
      <c r="C30" s="7" t="inlineStr">
        <is>
          <t>frAssetStatus</t>
        </is>
      </c>
      <c r="D30" s="7" t="inlineStr">
        <is>
          <t>Disposal Notes</t>
        </is>
      </c>
      <c r="E30" s="7" t="inlineStr">
        <is>
          <t>ملاحظات الاستبعاد</t>
        </is>
      </c>
      <c r="F30" s="7" t="inlineStr">
        <is>
          <t>User</t>
        </is>
      </c>
      <c r="G30" s="7" t="inlineStr">
        <is>
          <t>—</t>
        </is>
      </c>
      <c r="H30" s="7" t="inlineStr">
        <is>
          <t>Free text</t>
        </is>
      </c>
      <c r="I30" s="7" t="inlineStr">
        <is>
          <t>N</t>
        </is>
      </c>
      <c r="J30" s="7" t="inlineStr">
        <is>
          <t>N</t>
        </is>
      </c>
      <c r="K30" s="7" t="inlineStr">
        <is>
          <t>fixed_assets.disposal_notes</t>
        </is>
      </c>
      <c r="L30" s="7" t="inlineStr"/>
      <c r="M30" s="22" t="inlineStr"/>
      <c r="N30" s="22" t="inlineStr"/>
    </row>
  </sheetData>
  <mergeCells count="7">
    <mergeCell ref="A17:N17"/>
    <mergeCell ref="A22:N22"/>
    <mergeCell ref="A4:N4"/>
    <mergeCell ref="A26:N26"/>
    <mergeCell ref="A2:N2"/>
    <mergeCell ref="A13:N13"/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frmBudget  —  Budget Planning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frBudgetFilters  —  Budget Period &amp; Filters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txtYear</t>
        </is>
      </c>
      <c r="B5" s="21" t="inlineStr">
        <is>
          <t>txt</t>
        </is>
      </c>
      <c r="C5" s="21" t="inlineStr">
        <is>
          <t>frBudgetFilters</t>
        </is>
      </c>
      <c r="D5" s="21" t="inlineStr">
        <is>
          <t>Budget Year *</t>
        </is>
      </c>
      <c r="E5" s="21" t="inlineStr">
        <is>
          <t>سنة الميزانية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YYYY | e.g. 2025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budgets.year</t>
        </is>
      </c>
      <c r="L5" s="21" t="inlineStr"/>
      <c r="M5" s="22" t="inlineStr"/>
      <c r="N5" s="22" t="inlineStr"/>
    </row>
    <row r="6" ht="15" customHeight="1">
      <c r="A6" s="42" t="inlineStr">
        <is>
          <t>cboMonth</t>
        </is>
      </c>
      <c r="B6" s="7" t="inlineStr">
        <is>
          <t>cbo</t>
        </is>
      </c>
      <c r="C6" s="7" t="inlineStr">
        <is>
          <t>frBudgetFilters</t>
        </is>
      </c>
      <c r="D6" s="7" t="inlineStr">
        <is>
          <t>Month (optional)</t>
        </is>
      </c>
      <c r="E6" s="7" t="inlineStr">
        <is>
          <t>الشهر</t>
        </is>
      </c>
      <c r="F6" s="7" t="inlineStr">
        <is>
          <t>Hardcoded 1–12</t>
        </is>
      </c>
      <c r="G6" s="7" t="inlineStr">
        <is>
          <t>—</t>
        </is>
      </c>
      <c r="H6" s="7" t="inlineStr">
        <is>
          <t>ALL or specific month for monthly view</t>
        </is>
      </c>
      <c r="I6" s="7" t="inlineStr">
        <is>
          <t>N</t>
        </is>
      </c>
      <c r="J6" s="7" t="inlineStr">
        <is>
          <t>N</t>
        </is>
      </c>
      <c r="K6" s="7" t="inlineStr">
        <is>
          <t>budgets.month</t>
        </is>
      </c>
      <c r="L6" s="7" t="inlineStr">
        <is>
          <t>ALL = annual budget. Month = monthly breakdown.</t>
        </is>
      </c>
      <c r="M6" s="22" t="inlineStr"/>
      <c r="N6" s="22" t="inlineStr"/>
    </row>
    <row r="7" ht="15" customHeight="1">
      <c r="A7" s="42" t="inlineStr">
        <is>
          <t>cboDept</t>
        </is>
      </c>
      <c r="B7" s="21" t="inlineStr">
        <is>
          <t>cbo</t>
        </is>
      </c>
      <c r="C7" s="21" t="inlineStr">
        <is>
          <t>frBudgetFilters</t>
        </is>
      </c>
      <c r="D7" s="21" t="inlineStr">
        <is>
          <t>Department</t>
        </is>
      </c>
      <c r="E7" s="21" t="inlineStr">
        <is>
          <t>القسم</t>
        </is>
      </c>
      <c r="F7" s="21" t="inlineStr">
        <is>
          <t>departments WHERE entity_id</t>
        </is>
      </c>
      <c r="G7" s="21" t="inlineStr">
        <is>
          <t>—</t>
        </is>
      </c>
      <c r="H7" s="21" t="inlineStr">
        <is>
          <t>dept_code | UUID | ALL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budgets.dept_id</t>
        </is>
      </c>
      <c r="L7" s="21" t="inlineStr"/>
      <c r="M7" s="22" t="inlineStr"/>
      <c r="N7" s="22" t="inlineStr"/>
    </row>
    <row r="8" ht="17" customHeight="1">
      <c r="A8" s="41" t="inlineStr">
        <is>
          <t xml:space="preserve">  ▸  frBudgetGrid  —  Budget Entries (per COA account)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</row>
    <row r="9" ht="15" customHeight="1">
      <c r="A9" s="42" t="inlineStr">
        <is>
          <t>lstCOA</t>
        </is>
      </c>
      <c r="B9" s="21" t="inlineStr">
        <is>
          <t>lst</t>
        </is>
      </c>
      <c r="C9" s="21" t="inlineStr">
        <is>
          <t>frBudgetGrid</t>
        </is>
      </c>
      <c r="D9" s="21" t="inlineStr">
        <is>
          <t>Chart of Accounts</t>
        </is>
      </c>
      <c r="E9" s="21" t="inlineStr">
        <is>
          <t>دليل الحسابات</t>
        </is>
      </c>
      <c r="F9" s="21" t="inlineStr">
        <is>
          <t>chart_of_accounts WHERE entity_id</t>
        </is>
      </c>
      <c r="G9" s="21" t="inlineStr">
        <is>
          <t>—</t>
        </is>
      </c>
      <c r="H9" s="21" t="inlineStr">
        <is>
          <t>account_code + name list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budgets.account_code</t>
        </is>
      </c>
      <c r="L9" s="21" t="inlineStr">
        <is>
          <t>Each account row gets a budget entry.</t>
        </is>
      </c>
      <c r="M9" s="22" t="inlineStr"/>
      <c r="N9" s="22" t="inlineStr"/>
    </row>
    <row r="10" ht="15" customHeight="1">
      <c r="A10" s="42" t="inlineStr">
        <is>
          <t>txtBudgetAmount</t>
        </is>
      </c>
      <c r="B10" s="7" t="inlineStr">
        <is>
          <t>txt</t>
        </is>
      </c>
      <c r="C10" s="7" t="inlineStr">
        <is>
          <t>frBudgetGrid</t>
        </is>
      </c>
      <c r="D10" s="7" t="inlineStr">
        <is>
          <t>Budgeted Amount (SAR)</t>
        </is>
      </c>
      <c r="E10" s="7" t="inlineStr">
        <is>
          <t>المبلغ المدرج</t>
        </is>
      </c>
      <c r="F10" s="7" t="inlineStr">
        <is>
          <t>User per account</t>
        </is>
      </c>
      <c r="G10" s="7" t="inlineStr">
        <is>
          <t>lstCOA</t>
        </is>
      </c>
      <c r="H10" s="7" t="inlineStr">
        <is>
          <t>#,##0.00 | 0 allowed</t>
        </is>
      </c>
      <c r="I10" s="7" t="inlineStr">
        <is>
          <t>Y</t>
        </is>
      </c>
      <c r="J10" s="7" t="inlineStr">
        <is>
          <t>N</t>
        </is>
      </c>
      <c r="K10" s="7" t="inlineStr">
        <is>
          <t>budgets.budgeted_amount</t>
        </is>
      </c>
      <c r="L10" s="7" t="inlineStr"/>
      <c r="M10" s="22" t="inlineStr"/>
      <c r="N10" s="22" t="inlineStr"/>
    </row>
    <row r="11" ht="15" customHeight="1">
      <c r="A11" s="42" t="inlineStr">
        <is>
          <t>lblActualAmount</t>
        </is>
      </c>
      <c r="B11" s="21" t="inlineStr">
        <is>
          <t>lbl</t>
        </is>
      </c>
      <c r="C11" s="21" t="inlineStr">
        <is>
          <t>frBudgetGrid</t>
        </is>
      </c>
      <c r="D11" s="21" t="inlineStr">
        <is>
          <t>Actual YTD (auto)</t>
        </is>
      </c>
      <c r="E11" s="21" t="inlineStr">
        <is>
          <t>الفعلي حتى اليوم</t>
        </is>
      </c>
      <c r="F11" s="21" t="inlineStr">
        <is>
          <t>Aggregated from GL</t>
        </is>
      </c>
      <c r="G11" s="21" t="inlineStr">
        <is>
          <t>—</t>
        </is>
      </c>
      <c r="H11" s="21" t="inlineStr">
        <is>
          <t>SAR #,##0.00 | read-only</t>
        </is>
      </c>
      <c r="I11" s="21" t="inlineStr">
        <is>
          <t>—</t>
        </is>
      </c>
      <c r="J11" s="21" t="inlineStr">
        <is>
          <t>Y</t>
        </is>
      </c>
      <c r="K11" s="21" t="inlineStr">
        <is>
          <t>— (computed from GL)</t>
        </is>
      </c>
      <c r="L11" s="21" t="inlineStr">
        <is>
          <t>Pulled from journal_voucher_lines aggregated.</t>
        </is>
      </c>
      <c r="M11" s="22" t="inlineStr"/>
      <c r="N11" s="22" t="inlineStr"/>
    </row>
    <row r="12" ht="15" customHeight="1">
      <c r="A12" s="42" t="inlineStr">
        <is>
          <t>lblVariance</t>
        </is>
      </c>
      <c r="B12" s="7" t="inlineStr">
        <is>
          <t>lbl</t>
        </is>
      </c>
      <c r="C12" s="7" t="inlineStr">
        <is>
          <t>frBudgetGrid</t>
        </is>
      </c>
      <c r="D12" s="7" t="inlineStr">
        <is>
          <t>Variance (auto)</t>
        </is>
      </c>
      <c r="E12" s="7" t="inlineStr">
        <is>
          <t>الانحراف</t>
        </is>
      </c>
      <c r="F12" s="7">
        <f> Budgeted − Actual</f>
        <v/>
      </c>
      <c r="G12" s="7" t="inlineStr">
        <is>
          <t>—</t>
        </is>
      </c>
      <c r="H12" s="7" t="inlineStr">
        <is>
          <t>SAR #,##0.00 | color-coded</t>
        </is>
      </c>
      <c r="I12" s="7" t="inlineStr">
        <is>
          <t>—</t>
        </is>
      </c>
      <c r="J12" s="7" t="inlineStr">
        <is>
          <t>Y</t>
        </is>
      </c>
      <c r="K12" s="7" t="inlineStr">
        <is>
          <t>— (computed)</t>
        </is>
      </c>
      <c r="L12" s="7" t="inlineStr">
        <is>
          <t>Red if over-budget, green if under.</t>
        </is>
      </c>
      <c r="M12" s="22" t="inlineStr"/>
      <c r="N12" s="22" t="inlineStr"/>
    </row>
  </sheetData>
  <mergeCells count="4">
    <mergeCell ref="A4:N4"/>
    <mergeCell ref="A8:N8"/>
    <mergeCell ref="A2:N2"/>
    <mergeCell ref="A1:N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39" t="inlineStr">
        <is>
          <t>frmPettyCash  —  Petty Cash  |  App → Accounting</t>
        </is>
      </c>
    </row>
    <row r="2">
      <c r="A2" s="17" t="inlineStr">
        <is>
          <t>Yellow columns = your corrections.</t>
        </is>
      </c>
    </row>
    <row r="3" ht="32" customHeight="1">
      <c r="A3" s="40" t="inlineStr">
        <is>
          <t>Control Name (VBA)</t>
        </is>
      </c>
      <c r="B3" s="40" t="inlineStr">
        <is>
          <t>Type</t>
        </is>
      </c>
      <c r="C3" s="40" t="inlineStr">
        <is>
          <t>Frame / Section</t>
        </is>
      </c>
      <c r="D3" s="40" t="inlineStr">
        <is>
          <t>Label — English</t>
        </is>
      </c>
      <c r="E3" s="40" t="inlineStr">
        <is>
          <t>Label — Arabic</t>
        </is>
      </c>
      <c r="F3" s="40" t="inlineStr">
        <is>
          <t>Data Source / Table</t>
        </is>
      </c>
      <c r="G3" s="40" t="inlineStr">
        <is>
          <t>Depends On</t>
        </is>
      </c>
      <c r="H3" s="40" t="inlineStr">
        <is>
          <t>Format / Validation</t>
        </is>
      </c>
      <c r="I3" s="40" t="inlineStr">
        <is>
          <t>Required</t>
        </is>
      </c>
      <c r="J3" s="40" t="inlineStr">
        <is>
          <t>Read-Only</t>
        </is>
      </c>
      <c r="K3" s="40" t="inlineStr">
        <is>
          <t>DB Column (current)</t>
        </is>
      </c>
      <c r="L3" s="40" t="inlineStr">
        <is>
          <t>Business Rules / Notes</t>
        </is>
      </c>
      <c r="M3" s="40" t="inlineStr">
        <is>
          <t>✏ Your Correction</t>
        </is>
      </c>
      <c r="N3" s="40" t="inlineStr">
        <is>
          <t>✏ New DB Column</t>
        </is>
      </c>
    </row>
    <row r="4" ht="17" customHeight="1">
      <c r="A4" s="41" t="inlineStr">
        <is>
          <t xml:space="preserve">  ▸  frPettyCashSetup  —  Petty Cash Account Setup (Admin only)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2" t="inlineStr">
        <is>
          <t>txtAccountName</t>
        </is>
      </c>
      <c r="B5" s="21" t="inlineStr">
        <is>
          <t>txt</t>
        </is>
      </c>
      <c r="C5" s="21" t="inlineStr">
        <is>
          <t>frPettyCashSetup</t>
        </is>
      </c>
      <c r="D5" s="21" t="inlineStr">
        <is>
          <t>Account Name *</t>
        </is>
      </c>
      <c r="E5" s="21" t="inlineStr">
        <is>
          <t>اسم حساب الصندوق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Free text e.g. Site Office Petty Cash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petty_cash_accounts.account_name</t>
        </is>
      </c>
      <c r="L5" s="21" t="inlineStr"/>
      <c r="M5" s="22" t="inlineStr"/>
      <c r="N5" s="22" t="inlineStr"/>
    </row>
    <row r="6" ht="15" customHeight="1">
      <c r="A6" s="42" t="inlineStr">
        <is>
          <t>cboDepartment</t>
        </is>
      </c>
      <c r="B6" s="7" t="inlineStr">
        <is>
          <t>cbo</t>
        </is>
      </c>
      <c r="C6" s="7" t="inlineStr">
        <is>
          <t>frPettyCashSetup</t>
        </is>
      </c>
      <c r="D6" s="7" t="inlineStr">
        <is>
          <t>Department *</t>
        </is>
      </c>
      <c r="E6" s="7" t="inlineStr">
        <is>
          <t>القسم *</t>
        </is>
      </c>
      <c r="F6" s="7" t="inlineStr">
        <is>
          <t>departments WHERE entity_id</t>
        </is>
      </c>
      <c r="G6" s="7" t="inlineStr">
        <is>
          <t>—</t>
        </is>
      </c>
      <c r="H6" s="7" t="inlineStr">
        <is>
          <t>dept_code | UUID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petty_cash_accounts.department</t>
        </is>
      </c>
      <c r="L6" s="7" t="inlineStr"/>
      <c r="M6" s="22" t="inlineStr"/>
      <c r="N6" s="22" t="inlineStr"/>
    </row>
    <row r="7" ht="15" customHeight="1">
      <c r="A7" s="42" t="inlineStr">
        <is>
          <t>txtCustodianName</t>
        </is>
      </c>
      <c r="B7" s="21" t="inlineStr">
        <is>
          <t>txt</t>
        </is>
      </c>
      <c r="C7" s="21" t="inlineStr">
        <is>
          <t>frPettyCashSetup</t>
        </is>
      </c>
      <c r="D7" s="21" t="inlineStr">
        <is>
          <t>Custodian Name *</t>
        </is>
      </c>
      <c r="E7" s="21" t="inlineStr">
        <is>
          <t>اسم أمين الصندوق *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Free text | Employee name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petty_cash_accounts.custodian_name</t>
        </is>
      </c>
      <c r="L7" s="21" t="inlineStr"/>
      <c r="M7" s="22" t="inlineStr"/>
      <c r="N7" s="22" t="inlineStr"/>
    </row>
    <row r="8" ht="15" customHeight="1">
      <c r="A8" s="42" t="inlineStr">
        <is>
          <t>txtFloatLimit</t>
        </is>
      </c>
      <c r="B8" s="7" t="inlineStr">
        <is>
          <t>txt</t>
        </is>
      </c>
      <c r="C8" s="7" t="inlineStr">
        <is>
          <t>frPettyCashSetup</t>
        </is>
      </c>
      <c r="D8" s="7" t="inlineStr">
        <is>
          <t>Float Limit (SAR) *</t>
        </is>
      </c>
      <c r="E8" s="7" t="inlineStr">
        <is>
          <t>حد الرصيد *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#,##0.00 | Default 500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petty_cash_accounts.float_limit</t>
        </is>
      </c>
      <c r="L8" s="7" t="inlineStr">
        <is>
          <t>Max cash balance maintained in fund.</t>
        </is>
      </c>
      <c r="M8" s="22" t="inlineStr"/>
      <c r="N8" s="22" t="inlineStr"/>
    </row>
    <row r="9" ht="15" customHeight="1">
      <c r="A9" s="42" t="inlineStr">
        <is>
          <t>txtGLAccCode</t>
        </is>
      </c>
      <c r="B9" s="21" t="inlineStr">
        <is>
          <t>txt</t>
        </is>
      </c>
      <c r="C9" s="21" t="inlineStr">
        <is>
          <t>frPettyCashSetup</t>
        </is>
      </c>
      <c r="D9" s="21" t="inlineStr">
        <is>
          <t>GL Account Code *</t>
        </is>
      </c>
      <c r="E9" s="21" t="inlineStr">
        <is>
          <t>كود حساب دفتر الأستاذ *</t>
        </is>
      </c>
      <c r="F9" s="21" t="inlineStr">
        <is>
          <t>chart_of_accounts</t>
        </is>
      </c>
      <c r="G9" s="21" t="inlineStr">
        <is>
          <t>—</t>
        </is>
      </c>
      <c r="H9" s="21" t="inlineStr">
        <is>
          <t>Type-ahead</t>
        </is>
      </c>
      <c r="I9" s="21" t="inlineStr">
        <is>
          <t>Y</t>
        </is>
      </c>
      <c r="J9" s="21" t="inlineStr">
        <is>
          <t>N</t>
        </is>
      </c>
      <c r="K9" s="21" t="inlineStr">
        <is>
          <t>petty_cash_accounts.gl_account_code</t>
        </is>
      </c>
      <c r="L9" s="21" t="inlineStr"/>
      <c r="M9" s="22" t="inlineStr"/>
      <c r="N9" s="22" t="inlineStr"/>
    </row>
    <row r="10" ht="15" customHeight="1">
      <c r="A10" s="42" t="inlineStr">
        <is>
          <t>txtNotes</t>
        </is>
      </c>
      <c r="B10" s="7" t="inlineStr">
        <is>
          <t>txt</t>
        </is>
      </c>
      <c r="C10" s="7" t="inlineStr">
        <is>
          <t>frPettyCashSetup</t>
        </is>
      </c>
      <c r="D10" s="7" t="inlineStr">
        <is>
          <t>Notes</t>
        </is>
      </c>
      <c r="E10" s="7" t="inlineStr">
        <is>
          <t>ملاحظات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petty_cash_accounts.notes</t>
        </is>
      </c>
      <c r="L10" s="7" t="inlineStr"/>
      <c r="M10" s="22" t="inlineStr"/>
      <c r="N10" s="22" t="inlineStr"/>
    </row>
    <row r="11" ht="17" customHeight="1">
      <c r="A11" s="41" t="inlineStr">
        <is>
          <t xml:space="preserve">  ▸  frPettyCashEntry  —  Petty Cash Entries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4" t="n"/>
    </row>
    <row r="12" ht="15" customHeight="1">
      <c r="A12" s="42" t="inlineStr">
        <is>
          <t>cboAcctId</t>
        </is>
      </c>
      <c r="B12" s="7" t="inlineStr">
        <is>
          <t>cbo</t>
        </is>
      </c>
      <c r="C12" s="7" t="inlineStr">
        <is>
          <t>frPettyCashEntry</t>
        </is>
      </c>
      <c r="D12" s="7" t="inlineStr">
        <is>
          <t>Petty Cash Account *</t>
        </is>
      </c>
      <c r="E12" s="7" t="inlineStr">
        <is>
          <t>حساب الصندوق *</t>
        </is>
      </c>
      <c r="F12" s="7" t="inlineStr">
        <is>
          <t>petty_cash_accounts WHERE entity_id</t>
        </is>
      </c>
      <c r="G12" s="7" t="inlineStr">
        <is>
          <t>—</t>
        </is>
      </c>
      <c r="H12" s="7" t="inlineStr">
        <is>
          <t>account_name | UUID</t>
        </is>
      </c>
      <c r="I12" s="7" t="inlineStr">
        <is>
          <t>Y</t>
        </is>
      </c>
      <c r="J12" s="7" t="inlineStr">
        <is>
          <t>N</t>
        </is>
      </c>
      <c r="K12" s="7" t="inlineStr">
        <is>
          <t>petty_cash_entries.petty_cash_account_id</t>
        </is>
      </c>
      <c r="L12" s="7" t="inlineStr"/>
      <c r="M12" s="22" t="inlineStr"/>
      <c r="N12" s="22" t="inlineStr"/>
    </row>
    <row r="13" ht="15" customHeight="1">
      <c r="A13" s="42" t="inlineStr">
        <is>
          <t>txtEntryDate</t>
        </is>
      </c>
      <c r="B13" s="21" t="inlineStr">
        <is>
          <t>txt</t>
        </is>
      </c>
      <c r="C13" s="21" t="inlineStr">
        <is>
          <t>frPettyCashEntry</t>
        </is>
      </c>
      <c r="D13" s="21" t="inlineStr">
        <is>
          <t>Entry Date *</t>
        </is>
      </c>
      <c r="E13" s="21" t="inlineStr">
        <is>
          <t>تاريخ القيد *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DD/MM/YYYY | Default today</t>
        </is>
      </c>
      <c r="I13" s="21" t="inlineStr">
        <is>
          <t>Y</t>
        </is>
      </c>
      <c r="J13" s="21" t="inlineStr">
        <is>
          <t>N</t>
        </is>
      </c>
      <c r="K13" s="21" t="inlineStr">
        <is>
          <t>petty_cash_entries.entry_date</t>
        </is>
      </c>
      <c r="L13" s="21" t="inlineStr"/>
      <c r="M13" s="22" t="inlineStr"/>
      <c r="N13" s="22" t="inlineStr"/>
    </row>
    <row r="14" ht="15" customHeight="1">
      <c r="A14" s="42" t="inlineStr">
        <is>
          <t>txtEntryDesc</t>
        </is>
      </c>
      <c r="B14" s="7" t="inlineStr">
        <is>
          <t>txt</t>
        </is>
      </c>
      <c r="C14" s="7" t="inlineStr">
        <is>
          <t>frPettyCashEntry</t>
        </is>
      </c>
      <c r="D14" s="7" t="inlineStr">
        <is>
          <t>Description *</t>
        </is>
      </c>
      <c r="E14" s="7" t="inlineStr">
        <is>
          <t>الوصف *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Free text</t>
        </is>
      </c>
      <c r="I14" s="7" t="inlineStr">
        <is>
          <t>Y</t>
        </is>
      </c>
      <c r="J14" s="7" t="inlineStr">
        <is>
          <t>N</t>
        </is>
      </c>
      <c r="K14" s="7" t="inlineStr">
        <is>
          <t>petty_cash_entries.description</t>
        </is>
      </c>
      <c r="L14" s="7" t="inlineStr"/>
      <c r="M14" s="22" t="inlineStr"/>
      <c r="N14" s="22" t="inlineStr"/>
    </row>
    <row r="15" ht="15" customHeight="1">
      <c r="A15" s="42" t="inlineStr">
        <is>
          <t>txtEntryAmount</t>
        </is>
      </c>
      <c r="B15" s="21" t="inlineStr">
        <is>
          <t>txt</t>
        </is>
      </c>
      <c r="C15" s="21" t="inlineStr">
        <is>
          <t>frPettyCashEntry</t>
        </is>
      </c>
      <c r="D15" s="21" t="inlineStr">
        <is>
          <t>Amount (SAR) *</t>
        </is>
      </c>
      <c r="E15" s="21" t="inlineStr">
        <is>
          <t>المبلغ *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#,##0.00 | &gt; 0</t>
        </is>
      </c>
      <c r="I15" s="21" t="inlineStr">
        <is>
          <t>Y</t>
        </is>
      </c>
      <c r="J15" s="21" t="inlineStr">
        <is>
          <t>N</t>
        </is>
      </c>
      <c r="K15" s="21" t="inlineStr">
        <is>
          <t>petty_cash_entries.amount</t>
        </is>
      </c>
      <c r="L15" s="21" t="inlineStr"/>
      <c r="M15" s="22" t="inlineStr"/>
      <c r="N15" s="22" t="inlineStr"/>
    </row>
    <row r="16" ht="15" customHeight="1">
      <c r="A16" s="42" t="inlineStr">
        <is>
          <t>cboEntryCategory</t>
        </is>
      </c>
      <c r="B16" s="7" t="inlineStr">
        <is>
          <t>cbo</t>
        </is>
      </c>
      <c r="C16" s="7" t="inlineStr">
        <is>
          <t>frPettyCashEntry</t>
        </is>
      </c>
      <c r="D16" s="7" t="inlineStr">
        <is>
          <t>Category</t>
        </is>
      </c>
      <c r="E16" s="7" t="inlineStr">
        <is>
          <t>الفئة</t>
        </is>
      </c>
      <c r="F16" s="7" t="inlineStr">
        <is>
          <t>Hardcoded</t>
        </is>
      </c>
      <c r="G16" s="7" t="inlineStr">
        <is>
          <t>—</t>
        </is>
      </c>
      <c r="H16" s="7" t="inlineStr">
        <is>
          <t>OFFICE_SUPPLIES|TRANSPORT|MEALS|UTILITIES|MAINTENANCE|OTHER</t>
        </is>
      </c>
      <c r="I16" s="7" t="inlineStr">
        <is>
          <t>N</t>
        </is>
      </c>
      <c r="J16" s="7" t="inlineStr">
        <is>
          <t>N</t>
        </is>
      </c>
      <c r="K16" s="7" t="inlineStr">
        <is>
          <t>petty_cash_entries.category</t>
        </is>
      </c>
      <c r="L16" s="7" t="inlineStr"/>
      <c r="M16" s="22" t="inlineStr"/>
      <c r="N16" s="22" t="inlineStr"/>
    </row>
    <row r="17" ht="15" customHeight="1">
      <c r="A17" s="42" t="inlineStr">
        <is>
          <t>txtReceiptNo</t>
        </is>
      </c>
      <c r="B17" s="21" t="inlineStr">
        <is>
          <t>txt</t>
        </is>
      </c>
      <c r="C17" s="21" t="inlineStr">
        <is>
          <t>frPettyCashEntry</t>
        </is>
      </c>
      <c r="D17" s="21" t="inlineStr">
        <is>
          <t>Receipt / Voucher No</t>
        </is>
      </c>
      <c r="E17" s="21" t="inlineStr">
        <is>
          <t>رقم الإيصال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Free text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petty_cash_entries.receipt_number</t>
        </is>
      </c>
      <c r="L17" s="21" t="inlineStr"/>
      <c r="M17" s="22" t="inlineStr"/>
      <c r="N17" s="22" t="inlineStr"/>
    </row>
    <row r="18" ht="15" customHeight="1">
      <c r="A18" s="42" t="inlineStr">
        <is>
          <t>lblBalance</t>
        </is>
      </c>
      <c r="B18" s="7" t="inlineStr">
        <is>
          <t>lbl</t>
        </is>
      </c>
      <c r="C18" s="7" t="inlineStr">
        <is>
          <t>frPettyCashEntry</t>
        </is>
      </c>
      <c r="D18" s="7" t="inlineStr">
        <is>
          <t>Current Balance (auto)</t>
        </is>
      </c>
      <c r="E18" s="7" t="inlineStr">
        <is>
          <t>الرصيد الحالي</t>
        </is>
      </c>
      <c r="F18" s="7">
        <f> Float − sum of entries since last replenishment</f>
        <v/>
      </c>
      <c r="G18" s="7" t="inlineStr">
        <is>
          <t>—</t>
        </is>
      </c>
      <c r="H18" s="7" t="inlineStr">
        <is>
          <t>SAR #,##0.00 | read-only</t>
        </is>
      </c>
      <c r="I18" s="7" t="inlineStr">
        <is>
          <t>—</t>
        </is>
      </c>
      <c r="J18" s="7" t="inlineStr">
        <is>
          <t>Y</t>
        </is>
      </c>
      <c r="K18" s="7" t="inlineStr">
        <is>
          <t>— (computed)</t>
        </is>
      </c>
      <c r="L18" s="7" t="inlineStr">
        <is>
          <t>Alert if balance &lt; 20% of float limit.</t>
        </is>
      </c>
      <c r="M18" s="22" t="inlineStr"/>
      <c r="N18" s="22" t="inlineStr"/>
    </row>
    <row r="19" ht="17" customHeight="1">
      <c r="A19" s="41" t="inlineStr">
        <is>
          <t xml:space="preserve">  ▸  frReplenishment  —  Replenishment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4" t="n"/>
    </row>
    <row r="20" ht="15" customHeight="1">
      <c r="A20" s="42" t="inlineStr">
        <is>
          <t>cmdReplenish</t>
        </is>
      </c>
      <c r="B20" s="7" t="inlineStr">
        <is>
          <t>cmd</t>
        </is>
      </c>
      <c r="C20" s="7" t="inlineStr">
        <is>
          <t>frReplenishment</t>
        </is>
      </c>
      <c r="D20" s="7" t="inlineStr">
        <is>
          <t>Request Replenishment</t>
        </is>
      </c>
      <c r="E20" s="7" t="inlineStr">
        <is>
          <t>طلب تجديد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Creates replenishment request to finance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>
        <is>
          <t>Triggers workflow to top up fund to float limit.</t>
        </is>
      </c>
      <c r="M20" s="22" t="inlineStr"/>
      <c r="N20" s="22" t="inlineStr"/>
    </row>
  </sheetData>
  <mergeCells count="5">
    <mergeCell ref="A4:N4"/>
    <mergeCell ref="A2:N2"/>
    <mergeCell ref="A19:N19"/>
    <mergeCell ref="A11:N11"/>
    <mergeCell ref="A1:N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43" t="inlineStr">
        <is>
          <t>frmUserManagement  —  User Management  |  App → Admin</t>
        </is>
      </c>
    </row>
    <row r="2">
      <c r="A2" s="17" t="inlineStr">
        <is>
          <t>Yellow columns = your corrections.</t>
        </is>
      </c>
    </row>
    <row r="3" ht="32" customHeight="1">
      <c r="A3" s="44" t="inlineStr">
        <is>
          <t>Control Name (VBA)</t>
        </is>
      </c>
      <c r="B3" s="44" t="inlineStr">
        <is>
          <t>Type</t>
        </is>
      </c>
      <c r="C3" s="44" t="inlineStr">
        <is>
          <t>Frame / Section</t>
        </is>
      </c>
      <c r="D3" s="44" t="inlineStr">
        <is>
          <t>Label — English</t>
        </is>
      </c>
      <c r="E3" s="44" t="inlineStr">
        <is>
          <t>Label — Arabic</t>
        </is>
      </c>
      <c r="F3" s="44" t="inlineStr">
        <is>
          <t>Data Source / Table</t>
        </is>
      </c>
      <c r="G3" s="44" t="inlineStr">
        <is>
          <t>Depends On</t>
        </is>
      </c>
      <c r="H3" s="44" t="inlineStr">
        <is>
          <t>Format / Validation</t>
        </is>
      </c>
      <c r="I3" s="44" t="inlineStr">
        <is>
          <t>Required</t>
        </is>
      </c>
      <c r="J3" s="44" t="inlineStr">
        <is>
          <t>Read-Only</t>
        </is>
      </c>
      <c r="K3" s="44" t="inlineStr">
        <is>
          <t>DB Column (current)</t>
        </is>
      </c>
      <c r="L3" s="44" t="inlineStr">
        <is>
          <t>Business Rules / Notes</t>
        </is>
      </c>
      <c r="M3" s="44" t="inlineStr">
        <is>
          <t>✏ Your Correction</t>
        </is>
      </c>
      <c r="N3" s="44" t="inlineStr">
        <is>
          <t>✏ New DB Column</t>
        </is>
      </c>
    </row>
    <row r="4" ht="17" customHeight="1">
      <c r="A4" s="45" t="inlineStr">
        <is>
          <t xml:space="preserve">  ▸  frUserForm  —  Add / Edit User  (modal)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6" t="inlineStr">
        <is>
          <t>txtEmail</t>
        </is>
      </c>
      <c r="B5" s="21" t="inlineStr">
        <is>
          <t>txt</t>
        </is>
      </c>
      <c r="C5" s="21" t="inlineStr">
        <is>
          <t>frUserForm</t>
        </is>
      </c>
      <c r="D5" s="21" t="inlineStr">
        <is>
          <t>Email Address *</t>
        </is>
      </c>
      <c r="E5" s="21" t="inlineStr">
        <is>
          <t>البريد الإلكتروني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Valid email format | Unique in auth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profiles.email (auth.users.email)</t>
        </is>
      </c>
      <c r="L5" s="21" t="inlineStr">
        <is>
          <t>Supabase auth invite sent on create.</t>
        </is>
      </c>
      <c r="M5" s="22" t="inlineStr"/>
      <c r="N5" s="22" t="inlineStr"/>
    </row>
    <row r="6" ht="15" customHeight="1">
      <c r="A6" s="46" t="inlineStr">
        <is>
          <t>txtFullName</t>
        </is>
      </c>
      <c r="B6" s="7" t="inlineStr">
        <is>
          <t>txt</t>
        </is>
      </c>
      <c r="C6" s="7" t="inlineStr">
        <is>
          <t>frUserForm</t>
        </is>
      </c>
      <c r="D6" s="7" t="inlineStr">
        <is>
          <t>Full Name *</t>
        </is>
      </c>
      <c r="E6" s="7" t="inlineStr">
        <is>
          <t>الاسم الكامل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Free text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profiles.full_name</t>
        </is>
      </c>
      <c r="L6" s="7" t="inlineStr"/>
      <c r="M6" s="22" t="inlineStr"/>
      <c r="N6" s="22" t="inlineStr"/>
    </row>
    <row r="7" ht="15" customHeight="1">
      <c r="A7" s="46" t="inlineStr">
        <is>
          <t>cboRole</t>
        </is>
      </c>
      <c r="B7" s="21" t="inlineStr">
        <is>
          <t>cbo</t>
        </is>
      </c>
      <c r="C7" s="21" t="inlineStr">
        <is>
          <t>frUserForm</t>
        </is>
      </c>
      <c r="D7" s="21" t="inlineStr">
        <is>
          <t>Role *</t>
        </is>
      </c>
      <c r="E7" s="21" t="inlineStr">
        <is>
          <t>الصلاحية *</t>
        </is>
      </c>
      <c r="F7" s="21" t="inlineStr">
        <is>
          <t>APP_ROLES hardcoded</t>
        </is>
      </c>
      <c r="G7" s="21" t="inlineStr">
        <is>
          <t>—</t>
        </is>
      </c>
      <c r="H7" s="21" t="inlineStr">
        <is>
          <t>SUPERADMIN|ADMIN|DEPT_HEAD|PROJECT_MANAGER|TRAVEL_AGENT|FIELD_EMPLOYEE|VIEWER</t>
        </is>
      </c>
      <c r="I7" s="21" t="inlineStr">
        <is>
          <t>Y</t>
        </is>
      </c>
      <c r="J7" s="21" t="inlineStr">
        <is>
          <t>N</t>
        </is>
      </c>
      <c r="K7" s="21" t="inlineStr">
        <is>
          <t>profiles.role</t>
        </is>
      </c>
      <c r="L7" s="21" t="inlineStr">
        <is>
          <t>SUPERADMIN can assign any role. ADMIN cannot create SUPERADMIN.</t>
        </is>
      </c>
      <c r="M7" s="22" t="inlineStr"/>
      <c r="N7" s="22" t="inlineStr"/>
    </row>
    <row r="8" ht="15" customHeight="1">
      <c r="A8" s="46" t="inlineStr">
        <is>
          <t>cboEntity</t>
        </is>
      </c>
      <c r="B8" s="7" t="inlineStr">
        <is>
          <t>cbo</t>
        </is>
      </c>
      <c r="C8" s="7" t="inlineStr">
        <is>
          <t>frUserForm</t>
        </is>
      </c>
      <c r="D8" s="7" t="inlineStr">
        <is>
          <t>Entity *</t>
        </is>
      </c>
      <c r="E8" s="7" t="inlineStr">
        <is>
          <t>المنشأة *</t>
        </is>
      </c>
      <c r="F8" s="7" t="inlineStr">
        <is>
          <t>entities hardcoded</t>
        </is>
      </c>
      <c r="G8" s="7" t="inlineStr">
        <is>
          <t>—</t>
        </is>
      </c>
      <c r="H8" s="7" t="inlineStr">
        <is>
          <t>RAT|GWT|ACCSYS</t>
        </is>
      </c>
      <c r="I8" s="7" t="inlineStr">
        <is>
          <t>Y</t>
        </is>
      </c>
      <c r="J8" s="7" t="inlineStr">
        <is>
          <t>N</t>
        </is>
      </c>
      <c r="K8" s="7" t="inlineStr">
        <is>
          <t>profiles.entity_code</t>
        </is>
      </c>
      <c r="L8" s="7" t="inlineStr">
        <is>
          <t>SUPERADMIN can assign multi-entity (comma list).</t>
        </is>
      </c>
      <c r="M8" s="22" t="inlineStr"/>
      <c r="N8" s="22" t="inlineStr"/>
    </row>
    <row r="9" ht="15" customHeight="1">
      <c r="A9" s="46" t="inlineStr">
        <is>
          <t>cboDepartment</t>
        </is>
      </c>
      <c r="B9" s="21" t="inlineStr">
        <is>
          <t>cbo</t>
        </is>
      </c>
      <c r="C9" s="21" t="inlineStr">
        <is>
          <t>frUserForm</t>
        </is>
      </c>
      <c r="D9" s="21" t="inlineStr">
        <is>
          <t>Department</t>
        </is>
      </c>
      <c r="E9" s="21" t="inlineStr">
        <is>
          <t>القسم</t>
        </is>
      </c>
      <c r="F9" s="21" t="inlineStr">
        <is>
          <t>departments WHERE entity_id</t>
        </is>
      </c>
      <c r="G9" s="21" t="inlineStr">
        <is>
          <t>—</t>
        </is>
      </c>
      <c r="H9" s="21" t="inlineStr">
        <is>
          <t>dept_code | UUID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profiles.department</t>
        </is>
      </c>
      <c r="L9" s="21" t="inlineStr">
        <is>
          <t>Required for DEPT_HEAD role.</t>
        </is>
      </c>
      <c r="M9" s="22" t="inlineStr"/>
      <c r="N9" s="22" t="inlineStr"/>
    </row>
    <row r="10" ht="15" customHeight="1">
      <c r="A10" s="46" t="inlineStr">
        <is>
          <t>txtPhone</t>
        </is>
      </c>
      <c r="B10" s="7" t="inlineStr">
        <is>
          <t>txt</t>
        </is>
      </c>
      <c r="C10" s="7" t="inlineStr">
        <is>
          <t>frUserForm</t>
        </is>
      </c>
      <c r="D10" s="7" t="inlineStr">
        <is>
          <t>Phone</t>
        </is>
      </c>
      <c r="E10" s="7" t="inlineStr">
        <is>
          <t>الهاتف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+966 XXXXXXXXX | optional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profiles.phone</t>
        </is>
      </c>
      <c r="L10" s="7" t="inlineStr"/>
      <c r="M10" s="22" t="inlineStr"/>
      <c r="N10" s="22" t="inlineStr"/>
    </row>
    <row r="11" ht="15" customHeight="1">
      <c r="A11" s="46" t="inlineStr">
        <is>
          <t>chkActive</t>
        </is>
      </c>
      <c r="B11" s="21" t="inlineStr">
        <is>
          <t>chk</t>
        </is>
      </c>
      <c r="C11" s="21" t="inlineStr">
        <is>
          <t>frUserForm</t>
        </is>
      </c>
      <c r="D11" s="21" t="inlineStr">
        <is>
          <t>Active</t>
        </is>
      </c>
      <c r="E11" s="21" t="inlineStr">
        <is>
          <t>نشط</t>
        </is>
      </c>
      <c r="F11" s="21" t="inlineStr">
        <is>
          <t>Toggle</t>
        </is>
      </c>
      <c r="G11" s="21" t="inlineStr">
        <is>
          <t>—</t>
        </is>
      </c>
      <c r="H11" s="21" t="inlineStr">
        <is>
          <t>True/False | Default True</t>
        </is>
      </c>
      <c r="I11" s="21" t="inlineStr">
        <is>
          <t>Y</t>
        </is>
      </c>
      <c r="J11" s="21" t="inlineStr">
        <is>
          <t>N</t>
        </is>
      </c>
      <c r="K11" s="21" t="inlineStr">
        <is>
          <t>profiles.is_active</t>
        </is>
      </c>
      <c r="L11" s="21" t="inlineStr">
        <is>
          <t>Inactive users cannot log in.</t>
        </is>
      </c>
      <c r="M11" s="22" t="inlineStr"/>
      <c r="N11" s="22" t="inlineStr"/>
    </row>
    <row r="12" ht="17" customHeight="1">
      <c r="A12" s="45" t="inlineStr">
        <is>
          <t xml:space="preserve">  ▸  frUserFilters  —  Filters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</row>
    <row r="13" ht="15" customHeight="1">
      <c r="A13" s="46" t="inlineStr">
        <is>
          <t>cboFilterRole</t>
        </is>
      </c>
      <c r="B13" s="21" t="inlineStr">
        <is>
          <t>cbo</t>
        </is>
      </c>
      <c r="C13" s="21" t="inlineStr">
        <is>
          <t>frUserFilters</t>
        </is>
      </c>
      <c r="D13" s="21" t="inlineStr">
        <is>
          <t>Filter by Role</t>
        </is>
      </c>
      <c r="E13" s="21" t="inlineStr">
        <is>
          <t>تصفية حسب الصلاحية</t>
        </is>
      </c>
      <c r="F13" s="21" t="inlineStr">
        <is>
          <t>APP_ROLES</t>
        </is>
      </c>
      <c r="G13" s="21" t="inlineStr">
        <is>
          <t>—</t>
        </is>
      </c>
      <c r="H13" s="21" t="inlineStr">
        <is>
          <t>ALL + roles</t>
        </is>
      </c>
      <c r="I13" s="21" t="inlineStr">
        <is>
          <t>—</t>
        </is>
      </c>
      <c r="J13" s="21" t="inlineStr">
        <is>
          <t>—</t>
        </is>
      </c>
      <c r="K13" s="21" t="inlineStr">
        <is>
          <t>—</t>
        </is>
      </c>
      <c r="L13" s="21" t="inlineStr"/>
      <c r="M13" s="22" t="inlineStr"/>
      <c r="N13" s="22" t="inlineStr"/>
    </row>
    <row r="14" ht="15" customHeight="1">
      <c r="A14" s="46" t="inlineStr">
        <is>
          <t>cboFilterEntity</t>
        </is>
      </c>
      <c r="B14" s="7" t="inlineStr">
        <is>
          <t>cbo</t>
        </is>
      </c>
      <c r="C14" s="7" t="inlineStr">
        <is>
          <t>frUserFilters</t>
        </is>
      </c>
      <c r="D14" s="7" t="inlineStr">
        <is>
          <t>Filter by Entity</t>
        </is>
      </c>
      <c r="E14" s="7" t="inlineStr">
        <is>
          <t>تصفية حسب المنشأة</t>
        </is>
      </c>
      <c r="F14" s="7" t="inlineStr">
        <is>
          <t>entities</t>
        </is>
      </c>
      <c r="G14" s="7" t="inlineStr">
        <is>
          <t>—</t>
        </is>
      </c>
      <c r="H14" s="7" t="inlineStr">
        <is>
          <t>ALL + entities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/>
      <c r="M14" s="22" t="inlineStr"/>
      <c r="N14" s="22" t="inlineStr"/>
    </row>
    <row r="15" ht="15" customHeight="1">
      <c r="A15" s="46" t="inlineStr">
        <is>
          <t>txtSearch</t>
        </is>
      </c>
      <c r="B15" s="21" t="inlineStr">
        <is>
          <t>txt</t>
        </is>
      </c>
      <c r="C15" s="21" t="inlineStr">
        <is>
          <t>frUserFilters</t>
        </is>
      </c>
      <c r="D15" s="21" t="inlineStr">
        <is>
          <t>Search</t>
        </is>
      </c>
      <c r="E15" s="21" t="inlineStr">
        <is>
          <t>بحث</t>
        </is>
      </c>
      <c r="F15" s="21" t="inlineStr">
        <is>
          <t>—</t>
        </is>
      </c>
      <c r="G15" s="21" t="inlineStr">
        <is>
          <t>—</t>
        </is>
      </c>
      <c r="H15" s="21" t="inlineStr">
        <is>
          <t>Name or email</t>
        </is>
      </c>
      <c r="I15" s="21" t="inlineStr">
        <is>
          <t>—</t>
        </is>
      </c>
      <c r="J15" s="21" t="inlineStr">
        <is>
          <t>—</t>
        </is>
      </c>
      <c r="K15" s="21" t="inlineStr">
        <is>
          <t>—</t>
        </is>
      </c>
      <c r="L15" s="21" t="inlineStr"/>
      <c r="M15" s="22" t="inlineStr"/>
      <c r="N15" s="22" t="inlineStr"/>
    </row>
    <row r="16" ht="17" customHeight="1">
      <c r="A16" s="45" t="inlineStr">
        <is>
          <t xml:space="preserve">  ▸  frUserActions  —  Actions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46" t="inlineStr">
        <is>
          <t>cmdInvite</t>
        </is>
      </c>
      <c r="B17" s="21" t="inlineStr">
        <is>
          <t>cmd</t>
        </is>
      </c>
      <c r="C17" s="21" t="inlineStr">
        <is>
          <t>frUserActions</t>
        </is>
      </c>
      <c r="D17" s="21" t="inlineStr">
        <is>
          <t>Send Invite Email</t>
        </is>
      </c>
      <c r="E17" s="21" t="inlineStr">
        <is>
          <t>إرسال دعوة</t>
        </is>
      </c>
      <c r="F17" s="21" t="inlineStr">
        <is>
          <t>Supabase auth</t>
        </is>
      </c>
      <c r="G17" s="21" t="inlineStr">
        <is>
          <t>—</t>
        </is>
      </c>
      <c r="H17" s="21" t="inlineStr">
        <is>
          <t>Sends magic-link email via Supabase</t>
        </is>
      </c>
      <c r="I17" s="21" t="inlineStr">
        <is>
          <t>—</t>
        </is>
      </c>
      <c r="J17" s="21" t="inlineStr">
        <is>
          <t>—</t>
        </is>
      </c>
      <c r="K17" s="21" t="inlineStr">
        <is>
          <t>—</t>
        </is>
      </c>
      <c r="L17" s="21" t="inlineStr"/>
      <c r="M17" s="22" t="inlineStr"/>
      <c r="N17" s="22" t="inlineStr"/>
    </row>
    <row r="18" ht="15" customHeight="1">
      <c r="A18" s="46" t="inlineStr">
        <is>
          <t>cmdResetPwd</t>
        </is>
      </c>
      <c r="B18" s="7" t="inlineStr">
        <is>
          <t>cmd</t>
        </is>
      </c>
      <c r="C18" s="7" t="inlineStr">
        <is>
          <t>frUserActions</t>
        </is>
      </c>
      <c r="D18" s="7" t="inlineStr">
        <is>
          <t>Reset Password</t>
        </is>
      </c>
      <c r="E18" s="7" t="inlineStr">
        <is>
          <t>إعادة تعيين كلمة المرور</t>
        </is>
      </c>
      <c r="F18" s="7" t="inlineStr">
        <is>
          <t>Supabase auth</t>
        </is>
      </c>
      <c r="G18" s="7" t="inlineStr">
        <is>
          <t>—</t>
        </is>
      </c>
      <c r="H18" s="7" t="inlineStr">
        <is>
          <t>Sends password-reset email</t>
        </is>
      </c>
      <c r="I18" s="7" t="inlineStr">
        <is>
          <t>—</t>
        </is>
      </c>
      <c r="J18" s="7" t="inlineStr">
        <is>
          <t>—</t>
        </is>
      </c>
      <c r="K18" s="7" t="inlineStr">
        <is>
          <t>—</t>
        </is>
      </c>
      <c r="L18" s="7" t="inlineStr"/>
      <c r="M18" s="22" t="inlineStr"/>
      <c r="N18" s="22" t="inlineStr"/>
    </row>
    <row r="19" ht="15" customHeight="1">
      <c r="A19" s="46" t="inlineStr">
        <is>
          <t>cmdDeactivate</t>
        </is>
      </c>
      <c r="B19" s="21" t="inlineStr">
        <is>
          <t>cmd</t>
        </is>
      </c>
      <c r="C19" s="21" t="inlineStr">
        <is>
          <t>frUserActions</t>
        </is>
      </c>
      <c r="D19" s="21" t="inlineStr">
        <is>
          <t>Deactivate User</t>
        </is>
      </c>
      <c r="E19" s="21" t="inlineStr">
        <is>
          <t>تعطيل المستخدم</t>
        </is>
      </c>
      <c r="F19" s="21" t="inlineStr">
        <is>
          <t>profiles.is_active</t>
        </is>
      </c>
      <c r="G19" s="21" t="inlineStr">
        <is>
          <t>—</t>
        </is>
      </c>
      <c r="H19" s="21" t="inlineStr">
        <is>
          <t>Sets is_active = false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>
        <is>
          <t>Does NOT delete the user from auth.</t>
        </is>
      </c>
      <c r="M19" s="22" t="inlineStr"/>
      <c r="N19" s="22" t="inlineStr"/>
    </row>
  </sheetData>
  <mergeCells count="5">
    <mergeCell ref="A12:N12"/>
    <mergeCell ref="A4:N4"/>
    <mergeCell ref="A16:N16"/>
    <mergeCell ref="A2:N2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43" t="inlineStr">
        <is>
          <t>frmSettings  —  Company Settings  |  App → Admin</t>
        </is>
      </c>
    </row>
    <row r="2">
      <c r="A2" s="17" t="inlineStr">
        <is>
          <t>Yellow columns = your corrections.</t>
        </is>
      </c>
    </row>
    <row r="3" ht="32" customHeight="1">
      <c r="A3" s="44" t="inlineStr">
        <is>
          <t>Control Name (VBA)</t>
        </is>
      </c>
      <c r="B3" s="44" t="inlineStr">
        <is>
          <t>Type</t>
        </is>
      </c>
      <c r="C3" s="44" t="inlineStr">
        <is>
          <t>Frame / Section</t>
        </is>
      </c>
      <c r="D3" s="44" t="inlineStr">
        <is>
          <t>Label — English</t>
        </is>
      </c>
      <c r="E3" s="44" t="inlineStr">
        <is>
          <t>Label — Arabic</t>
        </is>
      </c>
      <c r="F3" s="44" t="inlineStr">
        <is>
          <t>Data Source / Table</t>
        </is>
      </c>
      <c r="G3" s="44" t="inlineStr">
        <is>
          <t>Depends On</t>
        </is>
      </c>
      <c r="H3" s="44" t="inlineStr">
        <is>
          <t>Format / Validation</t>
        </is>
      </c>
      <c r="I3" s="44" t="inlineStr">
        <is>
          <t>Required</t>
        </is>
      </c>
      <c r="J3" s="44" t="inlineStr">
        <is>
          <t>Read-Only</t>
        </is>
      </c>
      <c r="K3" s="44" t="inlineStr">
        <is>
          <t>DB Column (current)</t>
        </is>
      </c>
      <c r="L3" s="44" t="inlineStr">
        <is>
          <t>Business Rules / Notes</t>
        </is>
      </c>
      <c r="M3" s="44" t="inlineStr">
        <is>
          <t>✏ Your Correction</t>
        </is>
      </c>
      <c r="N3" s="44" t="inlineStr">
        <is>
          <t>✏ New DB Column</t>
        </is>
      </c>
    </row>
    <row r="4" ht="17" customHeight="1">
      <c r="A4" s="45" t="inlineStr">
        <is>
          <t xml:space="preserve">  ▸  frCompanyInfo  —  Company Information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6" t="inlineStr">
        <is>
          <t>txtCompanyNameEn</t>
        </is>
      </c>
      <c r="B5" s="21" t="inlineStr">
        <is>
          <t>txt</t>
        </is>
      </c>
      <c r="C5" s="21" t="inlineStr">
        <is>
          <t>frCompanyInfo</t>
        </is>
      </c>
      <c r="D5" s="21" t="inlineStr">
        <is>
          <t>Company Name (English) *</t>
        </is>
      </c>
      <c r="E5" s="21" t="inlineStr">
        <is>
          <t>اسم الشركة (إنجليزي)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Free text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settings.company_name_en</t>
        </is>
      </c>
      <c r="L5" s="21" t="inlineStr">
        <is>
          <t>Appears on invoices and reports.</t>
        </is>
      </c>
      <c r="M5" s="22" t="inlineStr"/>
      <c r="N5" s="22" t="inlineStr"/>
    </row>
    <row r="6" ht="15" customHeight="1">
      <c r="A6" s="46" t="inlineStr">
        <is>
          <t>txtCompanyNameAr</t>
        </is>
      </c>
      <c r="B6" s="7" t="inlineStr">
        <is>
          <t>txt</t>
        </is>
      </c>
      <c r="C6" s="7" t="inlineStr">
        <is>
          <t>frCompanyInfo</t>
        </is>
      </c>
      <c r="D6" s="7" t="inlineStr">
        <is>
          <t>Company Name (Arabic) *</t>
        </is>
      </c>
      <c r="E6" s="7" t="inlineStr">
        <is>
          <t>اسم الشركة (عربي)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Free text (RTL)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settings.company_name_ar</t>
        </is>
      </c>
      <c r="L6" s="7" t="inlineStr"/>
      <c r="M6" s="22" t="inlineStr"/>
      <c r="N6" s="22" t="inlineStr"/>
    </row>
    <row r="7" ht="15" customHeight="1">
      <c r="A7" s="46" t="inlineStr">
        <is>
          <t>txtVATNumber</t>
        </is>
      </c>
      <c r="B7" s="21" t="inlineStr">
        <is>
          <t>txt</t>
        </is>
      </c>
      <c r="C7" s="21" t="inlineStr">
        <is>
          <t>frCompanyInfo</t>
        </is>
      </c>
      <c r="D7" s="21" t="inlineStr">
        <is>
          <t>VAT Number</t>
        </is>
      </c>
      <c r="E7" s="21" t="inlineStr">
        <is>
          <t>الرقم الضريبي</t>
        </is>
      </c>
      <c r="F7" s="21" t="inlineStr">
        <is>
          <t>User</t>
        </is>
      </c>
      <c r="G7" s="21" t="inlineStr">
        <is>
          <t>—</t>
        </is>
      </c>
      <c r="H7" s="21" t="inlineStr">
        <is>
          <t>15-digit Saudi VAT No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settings.vat_number</t>
        </is>
      </c>
      <c r="L7" s="21" t="inlineStr"/>
      <c r="M7" s="22" t="inlineStr"/>
      <c r="N7" s="22" t="inlineStr"/>
    </row>
    <row r="8" ht="15" customHeight="1">
      <c r="A8" s="46" t="inlineStr">
        <is>
          <t>txtCRNumber</t>
        </is>
      </c>
      <c r="B8" s="7" t="inlineStr">
        <is>
          <t>txt</t>
        </is>
      </c>
      <c r="C8" s="7" t="inlineStr">
        <is>
          <t>frCompanyInfo</t>
        </is>
      </c>
      <c r="D8" s="7" t="inlineStr">
        <is>
          <t>CR Number</t>
        </is>
      </c>
      <c r="E8" s="7" t="inlineStr">
        <is>
          <t>السجل التجاري</t>
        </is>
      </c>
      <c r="F8" s="7" t="inlineStr">
        <is>
          <t>User</t>
        </is>
      </c>
      <c r="G8" s="7" t="inlineStr">
        <is>
          <t>—</t>
        </is>
      </c>
      <c r="H8" s="7" t="inlineStr">
        <is>
          <t>10-digit CR No</t>
        </is>
      </c>
      <c r="I8" s="7" t="inlineStr">
        <is>
          <t>N</t>
        </is>
      </c>
      <c r="J8" s="7" t="inlineStr">
        <is>
          <t>N</t>
        </is>
      </c>
      <c r="K8" s="7" t="inlineStr">
        <is>
          <t>settings.cr_number</t>
        </is>
      </c>
      <c r="L8" s="7" t="inlineStr"/>
      <c r="M8" s="22" t="inlineStr"/>
      <c r="N8" s="22" t="inlineStr"/>
    </row>
    <row r="9" ht="15" customHeight="1">
      <c r="A9" s="46" t="inlineStr">
        <is>
          <t>txtAddressEn</t>
        </is>
      </c>
      <c r="B9" s="21" t="inlineStr">
        <is>
          <t>txt</t>
        </is>
      </c>
      <c r="C9" s="21" t="inlineStr">
        <is>
          <t>frCompanyInfo</t>
        </is>
      </c>
      <c r="D9" s="21" t="inlineStr">
        <is>
          <t>Address (English)</t>
        </is>
      </c>
      <c r="E9" s="21" t="inlineStr">
        <is>
          <t>العنوان (إنجليزي)</t>
        </is>
      </c>
      <c r="F9" s="21" t="inlineStr">
        <is>
          <t>User</t>
        </is>
      </c>
      <c r="G9" s="21" t="inlineStr">
        <is>
          <t>—</t>
        </is>
      </c>
      <c r="H9" s="21" t="inlineStr">
        <is>
          <t>Free text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settings.address_en</t>
        </is>
      </c>
      <c r="L9" s="21" t="inlineStr"/>
      <c r="M9" s="22" t="inlineStr"/>
      <c r="N9" s="22" t="inlineStr"/>
    </row>
    <row r="10" ht="15" customHeight="1">
      <c r="A10" s="46" t="inlineStr">
        <is>
          <t>txtAddressAr</t>
        </is>
      </c>
      <c r="B10" s="7" t="inlineStr">
        <is>
          <t>txt</t>
        </is>
      </c>
      <c r="C10" s="7" t="inlineStr">
        <is>
          <t>frCompanyInfo</t>
        </is>
      </c>
      <c r="D10" s="7" t="inlineStr">
        <is>
          <t>Address (Arabic)</t>
        </is>
      </c>
      <c r="E10" s="7" t="inlineStr">
        <is>
          <t>العنوان (عربي)</t>
        </is>
      </c>
      <c r="F10" s="7" t="inlineStr">
        <is>
          <t>User</t>
        </is>
      </c>
      <c r="G10" s="7" t="inlineStr">
        <is>
          <t>—</t>
        </is>
      </c>
      <c r="H10" s="7" t="inlineStr">
        <is>
          <t>Free text (RTL)</t>
        </is>
      </c>
      <c r="I10" s="7" t="inlineStr">
        <is>
          <t>N</t>
        </is>
      </c>
      <c r="J10" s="7" t="inlineStr">
        <is>
          <t>N</t>
        </is>
      </c>
      <c r="K10" s="7" t="inlineStr">
        <is>
          <t>settings.address_ar</t>
        </is>
      </c>
      <c r="L10" s="7" t="inlineStr"/>
      <c r="M10" s="22" t="inlineStr"/>
      <c r="N10" s="22" t="inlineStr"/>
    </row>
    <row r="11" ht="15" customHeight="1">
      <c r="A11" s="46" t="inlineStr">
        <is>
          <t>txtCity</t>
        </is>
      </c>
      <c r="B11" s="21" t="inlineStr">
        <is>
          <t>txt</t>
        </is>
      </c>
      <c r="C11" s="21" t="inlineStr">
        <is>
          <t>frCompanyInfo</t>
        </is>
      </c>
      <c r="D11" s="21" t="inlineStr">
        <is>
          <t>City</t>
        </is>
      </c>
      <c r="E11" s="21" t="inlineStr">
        <is>
          <t>المدينة</t>
        </is>
      </c>
      <c r="F11" s="21" t="inlineStr">
        <is>
          <t>User</t>
        </is>
      </c>
      <c r="G11" s="21" t="inlineStr">
        <is>
          <t>—</t>
        </is>
      </c>
      <c r="H11" s="21" t="inlineStr">
        <is>
          <t>Free text | Default Riyadh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settings.city</t>
        </is>
      </c>
      <c r="L11" s="21" t="inlineStr"/>
      <c r="M11" s="22" t="inlineStr"/>
      <c r="N11" s="22" t="inlineStr"/>
    </row>
    <row r="12" ht="15" customHeight="1">
      <c r="A12" s="46" t="inlineStr">
        <is>
          <t>txtCountry</t>
        </is>
      </c>
      <c r="B12" s="7" t="inlineStr">
        <is>
          <t>txt</t>
        </is>
      </c>
      <c r="C12" s="7" t="inlineStr">
        <is>
          <t>frCompanyInfo</t>
        </is>
      </c>
      <c r="D12" s="7" t="inlineStr">
        <is>
          <t>Country</t>
        </is>
      </c>
      <c r="E12" s="7" t="inlineStr">
        <is>
          <t>الدولة</t>
        </is>
      </c>
      <c r="F12" s="7" t="inlineStr">
        <is>
          <t>User</t>
        </is>
      </c>
      <c r="G12" s="7" t="inlineStr">
        <is>
          <t>—</t>
        </is>
      </c>
      <c r="H12" s="7" t="inlineStr">
        <is>
          <t>Free text | Default Saudi Arabia</t>
        </is>
      </c>
      <c r="I12" s="7" t="inlineStr">
        <is>
          <t>N</t>
        </is>
      </c>
      <c r="J12" s="7" t="inlineStr">
        <is>
          <t>N</t>
        </is>
      </c>
      <c r="K12" s="7" t="inlineStr">
        <is>
          <t>settings.country</t>
        </is>
      </c>
      <c r="L12" s="7" t="inlineStr"/>
      <c r="M12" s="22" t="inlineStr"/>
      <c r="N12" s="22" t="inlineStr"/>
    </row>
    <row r="13" ht="15" customHeight="1">
      <c r="A13" s="46" t="inlineStr">
        <is>
          <t>txtPhone</t>
        </is>
      </c>
      <c r="B13" s="21" t="inlineStr">
        <is>
          <t>txt</t>
        </is>
      </c>
      <c r="C13" s="21" t="inlineStr">
        <is>
          <t>frCompanyInfo</t>
        </is>
      </c>
      <c r="D13" s="21" t="inlineStr">
        <is>
          <t>Phone</t>
        </is>
      </c>
      <c r="E13" s="21" t="inlineStr">
        <is>
          <t>الهاتف</t>
        </is>
      </c>
      <c r="F13" s="21" t="inlineStr">
        <is>
          <t>User</t>
        </is>
      </c>
      <c r="G13" s="21" t="inlineStr">
        <is>
          <t>—</t>
        </is>
      </c>
      <c r="H13" s="21" t="inlineStr">
        <is>
          <t>+966 XXXXXXXXX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settings.phone</t>
        </is>
      </c>
      <c r="L13" s="21" t="inlineStr"/>
      <c r="M13" s="22" t="inlineStr"/>
      <c r="N13" s="22" t="inlineStr"/>
    </row>
    <row r="14" ht="15" customHeight="1">
      <c r="A14" s="46" t="inlineStr">
        <is>
          <t>txtEmail</t>
        </is>
      </c>
      <c r="B14" s="7" t="inlineStr">
        <is>
          <t>txt</t>
        </is>
      </c>
      <c r="C14" s="7" t="inlineStr">
        <is>
          <t>frCompanyInfo</t>
        </is>
      </c>
      <c r="D14" s="7" t="inlineStr">
        <is>
          <t>Email</t>
        </is>
      </c>
      <c r="E14" s="7" t="inlineStr">
        <is>
          <t>البريد الإلكتروني</t>
        </is>
      </c>
      <c r="F14" s="7" t="inlineStr">
        <is>
          <t>User</t>
        </is>
      </c>
      <c r="G14" s="7" t="inlineStr">
        <is>
          <t>—</t>
        </is>
      </c>
      <c r="H14" s="7" t="inlineStr">
        <is>
          <t>Valid email</t>
        </is>
      </c>
      <c r="I14" s="7" t="inlineStr">
        <is>
          <t>N</t>
        </is>
      </c>
      <c r="J14" s="7" t="inlineStr">
        <is>
          <t>N</t>
        </is>
      </c>
      <c r="K14" s="7" t="inlineStr">
        <is>
          <t>settings.email</t>
        </is>
      </c>
      <c r="L14" s="7" t="inlineStr"/>
      <c r="M14" s="22" t="inlineStr"/>
      <c r="N14" s="22" t="inlineStr"/>
    </row>
    <row r="15" ht="15" customHeight="1">
      <c r="A15" s="46" t="inlineStr">
        <is>
          <t>txtWebsite</t>
        </is>
      </c>
      <c r="B15" s="21" t="inlineStr">
        <is>
          <t>txt</t>
        </is>
      </c>
      <c r="C15" s="21" t="inlineStr">
        <is>
          <t>frCompanyInfo</t>
        </is>
      </c>
      <c r="D15" s="21" t="inlineStr">
        <is>
          <t>Website</t>
        </is>
      </c>
      <c r="E15" s="21" t="inlineStr">
        <is>
          <t>الموقع الإلكتروني</t>
        </is>
      </c>
      <c r="F15" s="21" t="inlineStr">
        <is>
          <t>User</t>
        </is>
      </c>
      <c r="G15" s="21" t="inlineStr">
        <is>
          <t>—</t>
        </is>
      </c>
      <c r="H15" s="21" t="inlineStr">
        <is>
          <t>https://...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settings.website</t>
        </is>
      </c>
      <c r="L15" s="21" t="inlineStr"/>
      <c r="M15" s="22" t="inlineStr"/>
      <c r="N15" s="22" t="inlineStr"/>
    </row>
    <row r="16" ht="17" customHeight="1">
      <c r="A16" s="45" t="inlineStr">
        <is>
          <t xml:space="preserve">  ▸  frBankSettings  —  Bank &amp; WPS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46" t="inlineStr">
        <is>
          <t>txtDefaultBankCode</t>
        </is>
      </c>
      <c r="B17" s="21" t="inlineStr">
        <is>
          <t>txt</t>
        </is>
      </c>
      <c r="C17" s="21" t="inlineStr">
        <is>
          <t>frBankSettings</t>
        </is>
      </c>
      <c r="D17" s="21" t="inlineStr">
        <is>
          <t>Default Bank Code</t>
        </is>
      </c>
      <c r="E17" s="21" t="inlineStr">
        <is>
          <t>كود البنك الافتراضي</t>
        </is>
      </c>
      <c r="F17" s="21" t="inlineStr">
        <is>
          <t>User</t>
        </is>
      </c>
      <c r="G17" s="21" t="inlineStr">
        <is>
          <t>—</t>
        </is>
      </c>
      <c r="H17" s="21" t="inlineStr">
        <is>
          <t>4-digit SAMA bank code | Default 1060 (ANB)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settings.default_bank_code</t>
        </is>
      </c>
      <c r="L17" s="21" t="inlineStr"/>
      <c r="M17" s="22" t="inlineStr"/>
      <c r="N17" s="22" t="inlineStr"/>
    </row>
    <row r="18" ht="15" customHeight="1">
      <c r="A18" s="46" t="inlineStr">
        <is>
          <t>txtWPSEntityName</t>
        </is>
      </c>
      <c r="B18" s="7" t="inlineStr">
        <is>
          <t>txt</t>
        </is>
      </c>
      <c r="C18" s="7" t="inlineStr">
        <is>
          <t>frBankSettings</t>
        </is>
      </c>
      <c r="D18" s="7" t="inlineStr">
        <is>
          <t>WPS Entity Name</t>
        </is>
      </c>
      <c r="E18" s="7" t="inlineStr">
        <is>
          <t>اسم المنشأة في نظام WPS</t>
        </is>
      </c>
      <c r="F18" s="7" t="inlineStr">
        <is>
          <t>User</t>
        </is>
      </c>
      <c r="G18" s="7" t="inlineStr">
        <is>
          <t>—</t>
        </is>
      </c>
      <c r="H18" s="7" t="inlineStr">
        <is>
          <t>Free text | As registered in MOL</t>
        </is>
      </c>
      <c r="I18" s="7" t="inlineStr">
        <is>
          <t>N</t>
        </is>
      </c>
      <c r="J18" s="7" t="inlineStr">
        <is>
          <t>N</t>
        </is>
      </c>
      <c r="K18" s="7" t="inlineStr">
        <is>
          <t>settings.wps_entity_name</t>
        </is>
      </c>
      <c r="L18" s="7" t="inlineStr"/>
      <c r="M18" s="22" t="inlineStr"/>
      <c r="N18" s="22" t="inlineStr"/>
    </row>
    <row r="19" ht="15" customHeight="1">
      <c r="A19" s="46" t="inlineStr">
        <is>
          <t>txtIBAN</t>
        </is>
      </c>
      <c r="B19" s="21" t="inlineStr">
        <is>
          <t>txt</t>
        </is>
      </c>
      <c r="C19" s="21" t="inlineStr">
        <is>
          <t>frBankSettings</t>
        </is>
      </c>
      <c r="D19" s="21" t="inlineStr">
        <is>
          <t>Primary IBAN</t>
        </is>
      </c>
      <c r="E19" s="21" t="inlineStr">
        <is>
          <t>الآيبان الرئيسي</t>
        </is>
      </c>
      <c r="F19" s="21" t="inlineStr">
        <is>
          <t>User</t>
        </is>
      </c>
      <c r="G19" s="21" t="inlineStr">
        <is>
          <t>—</t>
        </is>
      </c>
      <c r="H19" s="21" t="inlineStr">
        <is>
          <t>SA followed by 22 digits</t>
        </is>
      </c>
      <c r="I19" s="21" t="inlineStr">
        <is>
          <t>N</t>
        </is>
      </c>
      <c r="J19" s="21" t="inlineStr">
        <is>
          <t>N</t>
        </is>
      </c>
      <c r="K19" s="21" t="inlineStr">
        <is>
          <t>settings.iban</t>
        </is>
      </c>
      <c r="L19" s="21" t="inlineStr"/>
      <c r="M19" s="22" t="inlineStr"/>
      <c r="N19" s="22" t="inlineStr"/>
    </row>
    <row r="20" ht="17" customHeight="1">
      <c r="A20" s="45" t="inlineStr">
        <is>
          <t xml:space="preserve">  ▸  frPayrollSettings  —  Payroll Defaults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 t="n"/>
    </row>
    <row r="21" ht="15" customHeight="1">
      <c r="A21" s="46" t="inlineStr">
        <is>
          <t>spnPayrollCutoff</t>
        </is>
      </c>
      <c r="B21" s="21" t="inlineStr">
        <is>
          <t>spn</t>
        </is>
      </c>
      <c r="C21" s="21" t="inlineStr">
        <is>
          <t>frPayrollSettings</t>
        </is>
      </c>
      <c r="D21" s="21" t="inlineStr">
        <is>
          <t>Payroll Cutoff Day</t>
        </is>
      </c>
      <c r="E21" s="21" t="inlineStr">
        <is>
          <t>يوم قطع الرواتب</t>
        </is>
      </c>
      <c r="F21" s="21" t="inlineStr">
        <is>
          <t>User</t>
        </is>
      </c>
      <c r="G21" s="21" t="inlineStr">
        <is>
          <t>—</t>
        </is>
      </c>
      <c r="H21" s="21" t="inlineStr">
        <is>
          <t>1–31 | Default 25</t>
        </is>
      </c>
      <c r="I21" s="21" t="inlineStr">
        <is>
          <t>N</t>
        </is>
      </c>
      <c r="J21" s="21" t="inlineStr">
        <is>
          <t>N</t>
        </is>
      </c>
      <c r="K21" s="21" t="inlineStr">
        <is>
          <t>settings.payroll_cutoff_day</t>
        </is>
      </c>
      <c r="L21" s="21" t="inlineStr"/>
      <c r="M21" s="22" t="inlineStr"/>
      <c r="N21" s="22" t="inlineStr"/>
    </row>
    <row r="22" ht="15" customHeight="1">
      <c r="A22" s="46" t="inlineStr">
        <is>
          <t>spnFiscalYearStart</t>
        </is>
      </c>
      <c r="B22" s="7" t="inlineStr">
        <is>
          <t>spn</t>
        </is>
      </c>
      <c r="C22" s="7" t="inlineStr">
        <is>
          <t>frPayrollSettings</t>
        </is>
      </c>
      <c r="D22" s="7" t="inlineStr">
        <is>
          <t>Fiscal Year Start Month</t>
        </is>
      </c>
      <c r="E22" s="7" t="inlineStr">
        <is>
          <t>شهر بداية السنة المالية</t>
        </is>
      </c>
      <c r="F22" s="7" t="inlineStr">
        <is>
          <t>User</t>
        </is>
      </c>
      <c r="G22" s="7" t="inlineStr">
        <is>
          <t>—</t>
        </is>
      </c>
      <c r="H22" s="7" t="inlineStr">
        <is>
          <t>1–12 | Default 1 (January)</t>
        </is>
      </c>
      <c r="I22" s="7" t="inlineStr">
        <is>
          <t>N</t>
        </is>
      </c>
      <c r="J22" s="7" t="inlineStr">
        <is>
          <t>N</t>
        </is>
      </c>
      <c r="K22" s="7" t="inlineStr">
        <is>
          <t>settings.fiscal_year_start</t>
        </is>
      </c>
      <c r="L22" s="7" t="inlineStr"/>
      <c r="M22" s="22" t="inlineStr"/>
      <c r="N22" s="22" t="inlineStr"/>
    </row>
    <row r="23" ht="15" customHeight="1">
      <c r="A23" s="46" t="inlineStr">
        <is>
          <t>spnSalaryDay</t>
        </is>
      </c>
      <c r="B23" s="21" t="inlineStr">
        <is>
          <t>spn</t>
        </is>
      </c>
      <c r="C23" s="21" t="inlineStr">
        <is>
          <t>frPayrollSettings</t>
        </is>
      </c>
      <c r="D23" s="21" t="inlineStr">
        <is>
          <t>Salary Payment Day</t>
        </is>
      </c>
      <c r="E23" s="21" t="inlineStr">
        <is>
          <t>يوم صرف الرواتب</t>
        </is>
      </c>
      <c r="F23" s="21" t="inlineStr">
        <is>
          <t>User</t>
        </is>
      </c>
      <c r="G23" s="21" t="inlineStr">
        <is>
          <t>—</t>
        </is>
      </c>
      <c r="H23" s="21" t="inlineStr">
        <is>
          <t>1–31 | Default 1</t>
        </is>
      </c>
      <c r="I23" s="21" t="inlineStr">
        <is>
          <t>N</t>
        </is>
      </c>
      <c r="J23" s="21" t="inlineStr">
        <is>
          <t>N</t>
        </is>
      </c>
      <c r="K23" s="21" t="inlineStr">
        <is>
          <t>settings.salary_day</t>
        </is>
      </c>
      <c r="L23" s="21" t="inlineStr"/>
      <c r="M23" s="22" t="inlineStr"/>
      <c r="N23" s="22" t="inlineStr"/>
    </row>
    <row r="24" ht="15" customHeight="1">
      <c r="A24" s="46" t="inlineStr">
        <is>
          <t>txtGOSISaudi</t>
        </is>
      </c>
      <c r="B24" s="7" t="inlineStr">
        <is>
          <t>txt</t>
        </is>
      </c>
      <c r="C24" s="7" t="inlineStr">
        <is>
          <t>frPayrollSettings</t>
        </is>
      </c>
      <c r="D24" s="7" t="inlineStr">
        <is>
          <t>GOSI % Saudi Employee</t>
        </is>
      </c>
      <c r="E24" s="7" t="inlineStr">
        <is>
          <t>نسبة التأمينات للسعودي</t>
        </is>
      </c>
      <c r="F24" s="7" t="inlineStr">
        <is>
          <t>User</t>
        </is>
      </c>
      <c r="G24" s="7" t="inlineStr">
        <is>
          <t>—</t>
        </is>
      </c>
      <c r="H24" s="7" t="inlineStr">
        <is>
          <t>#0.00 | Default 9%</t>
        </is>
      </c>
      <c r="I24" s="7" t="inlineStr">
        <is>
          <t>N</t>
        </is>
      </c>
      <c r="J24" s="7" t="inlineStr">
        <is>
          <t>N</t>
        </is>
      </c>
      <c r="K24" s="7" t="inlineStr">
        <is>
          <t>settings.gosi_company_saudi</t>
        </is>
      </c>
      <c r="L24" s="7" t="inlineStr"/>
      <c r="M24" s="22" t="inlineStr"/>
      <c r="N24" s="22" t="inlineStr"/>
    </row>
    <row r="25" ht="15" customHeight="1">
      <c r="A25" s="46" t="inlineStr">
        <is>
          <t>txtGOSIExpat</t>
        </is>
      </c>
      <c r="B25" s="21" t="inlineStr">
        <is>
          <t>txt</t>
        </is>
      </c>
      <c r="C25" s="21" t="inlineStr">
        <is>
          <t>frPayrollSettings</t>
        </is>
      </c>
      <c r="D25" s="21" t="inlineStr">
        <is>
          <t>GOSI % Expat Employee</t>
        </is>
      </c>
      <c r="E25" s="21" t="inlineStr">
        <is>
          <t>نسبة التأمينات للوافد</t>
        </is>
      </c>
      <c r="F25" s="21" t="inlineStr">
        <is>
          <t>User</t>
        </is>
      </c>
      <c r="G25" s="21" t="inlineStr">
        <is>
          <t>—</t>
        </is>
      </c>
      <c r="H25" s="21" t="inlineStr">
        <is>
          <t>#0.00 | Default 3%</t>
        </is>
      </c>
      <c r="I25" s="21" t="inlineStr">
        <is>
          <t>N</t>
        </is>
      </c>
      <c r="J25" s="21" t="inlineStr">
        <is>
          <t>N</t>
        </is>
      </c>
      <c r="K25" s="21" t="inlineStr">
        <is>
          <t>settings.gosi_company_expat</t>
        </is>
      </c>
      <c r="L25" s="21" t="inlineStr"/>
      <c r="M25" s="22" t="inlineStr"/>
      <c r="N25" s="22" t="inlineStr"/>
    </row>
    <row r="26" ht="17" customHeight="1">
      <c r="A26" s="45" t="inlineStr">
        <is>
          <t xml:space="preserve">  ▸  frLeaveSettings  —  Leave Defaults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4" t="n"/>
    </row>
    <row r="27" ht="15" customHeight="1">
      <c r="A27" s="46" t="inlineStr">
        <is>
          <t>spnAnnualLeave</t>
        </is>
      </c>
      <c r="B27" s="21" t="inlineStr">
        <is>
          <t>spn</t>
        </is>
      </c>
      <c r="C27" s="21" t="inlineStr">
        <is>
          <t>frLeaveSettings</t>
        </is>
      </c>
      <c r="D27" s="21" t="inlineStr">
        <is>
          <t>Annual Leave Days</t>
        </is>
      </c>
      <c r="E27" s="21" t="inlineStr">
        <is>
          <t>أيام الإجازة السنوية</t>
        </is>
      </c>
      <c r="F27" s="21" t="inlineStr">
        <is>
          <t>User</t>
        </is>
      </c>
      <c r="G27" s="21" t="inlineStr">
        <is>
          <t>—</t>
        </is>
      </c>
      <c r="H27" s="21" t="inlineStr">
        <is>
          <t>Integer | Default 21</t>
        </is>
      </c>
      <c r="I27" s="21" t="inlineStr">
        <is>
          <t>N</t>
        </is>
      </c>
      <c r="J27" s="21" t="inlineStr">
        <is>
          <t>N</t>
        </is>
      </c>
      <c r="K27" s="21" t="inlineStr">
        <is>
          <t>settings.annual_leave_days</t>
        </is>
      </c>
      <c r="L27" s="21" t="inlineStr"/>
      <c r="M27" s="22" t="inlineStr"/>
      <c r="N27" s="22" t="inlineStr"/>
    </row>
    <row r="28" ht="15" customHeight="1">
      <c r="A28" s="46" t="inlineStr">
        <is>
          <t>spnSickLeave</t>
        </is>
      </c>
      <c r="B28" s="7" t="inlineStr">
        <is>
          <t>spn</t>
        </is>
      </c>
      <c r="C28" s="7" t="inlineStr">
        <is>
          <t>frLeaveSettings</t>
        </is>
      </c>
      <c r="D28" s="7" t="inlineStr">
        <is>
          <t>Sick Leave Days</t>
        </is>
      </c>
      <c r="E28" s="7" t="inlineStr">
        <is>
          <t>أيام الإجازة المرضية</t>
        </is>
      </c>
      <c r="F28" s="7" t="inlineStr">
        <is>
          <t>User</t>
        </is>
      </c>
      <c r="G28" s="7" t="inlineStr">
        <is>
          <t>—</t>
        </is>
      </c>
      <c r="H28" s="7" t="inlineStr">
        <is>
          <t>Integer | Default 30</t>
        </is>
      </c>
      <c r="I28" s="7" t="inlineStr">
        <is>
          <t>N</t>
        </is>
      </c>
      <c r="J28" s="7" t="inlineStr">
        <is>
          <t>N</t>
        </is>
      </c>
      <c r="K28" s="7" t="inlineStr">
        <is>
          <t>settings.sick_leave_days</t>
        </is>
      </c>
      <c r="L28" s="7" t="inlineStr"/>
      <c r="M28" s="22" t="inlineStr"/>
      <c r="N28" s="22" t="inlineStr"/>
    </row>
    <row r="29" ht="15" customHeight="1">
      <c r="A29" s="46" t="inlineStr">
        <is>
          <t>spnEmergencyLeave</t>
        </is>
      </c>
      <c r="B29" s="21" t="inlineStr">
        <is>
          <t>spn</t>
        </is>
      </c>
      <c r="C29" s="21" t="inlineStr">
        <is>
          <t>frLeaveSettings</t>
        </is>
      </c>
      <c r="D29" s="21" t="inlineStr">
        <is>
          <t>Emergency Leave Days</t>
        </is>
      </c>
      <c r="E29" s="21" t="inlineStr">
        <is>
          <t>أيام إجازة الطوارئ</t>
        </is>
      </c>
      <c r="F29" s="21" t="inlineStr">
        <is>
          <t>User</t>
        </is>
      </c>
      <c r="G29" s="21" t="inlineStr">
        <is>
          <t>—</t>
        </is>
      </c>
      <c r="H29" s="21" t="inlineStr">
        <is>
          <t>Integer | Default 3</t>
        </is>
      </c>
      <c r="I29" s="21" t="inlineStr">
        <is>
          <t>N</t>
        </is>
      </c>
      <c r="J29" s="21" t="inlineStr">
        <is>
          <t>N</t>
        </is>
      </c>
      <c r="K29" s="21" t="inlineStr">
        <is>
          <t>settings.emergency_leave_days</t>
        </is>
      </c>
      <c r="L29" s="21" t="inlineStr"/>
      <c r="M29" s="22" t="inlineStr"/>
      <c r="N29" s="22" t="inlineStr"/>
    </row>
    <row r="30" ht="17" customHeight="1">
      <c r="A30" s="45" t="inlineStr">
        <is>
          <t xml:space="preserve">  ▸  frSystemSettings  —  System &amp; Formatting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4" t="n"/>
    </row>
    <row r="31" ht="15" customHeight="1">
      <c r="A31" s="46" t="inlineStr">
        <is>
          <t>cboCurrency</t>
        </is>
      </c>
      <c r="B31" s="21" t="inlineStr">
        <is>
          <t>cbo</t>
        </is>
      </c>
      <c r="C31" s="21" t="inlineStr">
        <is>
          <t>frSystemSettings</t>
        </is>
      </c>
      <c r="D31" s="21" t="inlineStr">
        <is>
          <t>Default Currency</t>
        </is>
      </c>
      <c r="E31" s="21" t="inlineStr">
        <is>
          <t>العملة الافتراضية</t>
        </is>
      </c>
      <c r="F31" s="21" t="inlineStr">
        <is>
          <t>Hardcoded</t>
        </is>
      </c>
      <c r="G31" s="21" t="inlineStr">
        <is>
          <t>—</t>
        </is>
      </c>
      <c r="H31" s="21" t="inlineStr">
        <is>
          <t>SAR|USD|EUR</t>
        </is>
      </c>
      <c r="I31" s="21" t="inlineStr">
        <is>
          <t>N</t>
        </is>
      </c>
      <c r="J31" s="21" t="inlineStr">
        <is>
          <t>N</t>
        </is>
      </c>
      <c r="K31" s="21" t="inlineStr">
        <is>
          <t>settings.currency</t>
        </is>
      </c>
      <c r="L31" s="21" t="inlineStr">
        <is>
          <t>Default SAR.</t>
        </is>
      </c>
      <c r="M31" s="22" t="inlineStr"/>
      <c r="N31" s="22" t="inlineStr"/>
    </row>
    <row r="32" ht="15" customHeight="1">
      <c r="A32" s="46" t="inlineStr">
        <is>
          <t>cboDateFormat</t>
        </is>
      </c>
      <c r="B32" s="7" t="inlineStr">
        <is>
          <t>cbo</t>
        </is>
      </c>
      <c r="C32" s="7" t="inlineStr">
        <is>
          <t>frSystemSettings</t>
        </is>
      </c>
      <c r="D32" s="7" t="inlineStr">
        <is>
          <t>Date Format</t>
        </is>
      </c>
      <c r="E32" s="7" t="inlineStr">
        <is>
          <t>تنسيق التاريخ</t>
        </is>
      </c>
      <c r="F32" s="7" t="inlineStr">
        <is>
          <t>Hardcoded</t>
        </is>
      </c>
      <c r="G32" s="7" t="inlineStr">
        <is>
          <t>—</t>
        </is>
      </c>
      <c r="H32" s="7" t="inlineStr">
        <is>
          <t>DD/MM/YYYY|MM/DD/YYYY|YYYY-MM-DD</t>
        </is>
      </c>
      <c r="I32" s="7" t="inlineStr">
        <is>
          <t>N</t>
        </is>
      </c>
      <c r="J32" s="7" t="inlineStr">
        <is>
          <t>N</t>
        </is>
      </c>
      <c r="K32" s="7" t="inlineStr">
        <is>
          <t>settings.date_format</t>
        </is>
      </c>
      <c r="L32" s="7" t="inlineStr">
        <is>
          <t>Default DD/MM/YYYY.</t>
        </is>
      </c>
      <c r="M32" s="22" t="inlineStr"/>
      <c r="N32" s="22" t="inlineStr"/>
    </row>
    <row r="33" ht="15" customHeight="1">
      <c r="A33" s="46" t="inlineStr">
        <is>
          <t>cboTimezone</t>
        </is>
      </c>
      <c r="B33" s="21" t="inlineStr">
        <is>
          <t>cbo</t>
        </is>
      </c>
      <c r="C33" s="21" t="inlineStr">
        <is>
          <t>frSystemSettings</t>
        </is>
      </c>
      <c r="D33" s="21" t="inlineStr">
        <is>
          <t>Timezone</t>
        </is>
      </c>
      <c r="E33" s="21" t="inlineStr">
        <is>
          <t>المنطقة الزمنية</t>
        </is>
      </c>
      <c r="F33" s="21" t="inlineStr">
        <is>
          <t>Hardcoded/IANA list</t>
        </is>
      </c>
      <c r="G33" s="21" t="inlineStr">
        <is>
          <t>—</t>
        </is>
      </c>
      <c r="H33" s="21" t="inlineStr">
        <is>
          <t>Asia/Riyadh | etc.</t>
        </is>
      </c>
      <c r="I33" s="21" t="inlineStr">
        <is>
          <t>N</t>
        </is>
      </c>
      <c r="J33" s="21" t="inlineStr">
        <is>
          <t>N</t>
        </is>
      </c>
      <c r="K33" s="21" t="inlineStr">
        <is>
          <t>settings.timezone</t>
        </is>
      </c>
      <c r="L33" s="21" t="inlineStr"/>
      <c r="M33" s="22" t="inlineStr"/>
      <c r="N33" s="22" t="inlineStr"/>
    </row>
    <row r="34" ht="15" customHeight="1">
      <c r="A34" s="46" t="inlineStr">
        <is>
          <t>txtInvPrefix</t>
        </is>
      </c>
      <c r="B34" s="7" t="inlineStr">
        <is>
          <t>txt</t>
        </is>
      </c>
      <c r="C34" s="7" t="inlineStr">
        <is>
          <t>frSystemSettings</t>
        </is>
      </c>
      <c r="D34" s="7" t="inlineStr">
        <is>
          <t>Invoice Prefix</t>
        </is>
      </c>
      <c r="E34" s="7" t="inlineStr">
        <is>
          <t>بادئة الفاتورة</t>
        </is>
      </c>
      <c r="F34" s="7" t="inlineStr">
        <is>
          <t>User</t>
        </is>
      </c>
      <c r="G34" s="7" t="inlineStr">
        <is>
          <t>—</t>
        </is>
      </c>
      <c r="H34" s="7" t="inlineStr">
        <is>
          <t>e.g. INV | Max 6 chars</t>
        </is>
      </c>
      <c r="I34" s="7" t="inlineStr">
        <is>
          <t>N</t>
        </is>
      </c>
      <c r="J34" s="7" t="inlineStr">
        <is>
          <t>N</t>
        </is>
      </c>
      <c r="K34" s="7" t="inlineStr">
        <is>
          <t>settings.invoice_prefix</t>
        </is>
      </c>
      <c r="L34" s="7" t="inlineStr"/>
      <c r="M34" s="22" t="inlineStr"/>
      <c r="N34" s="22" t="inlineStr"/>
    </row>
    <row r="35" ht="15" customHeight="1">
      <c r="A35" s="46" t="inlineStr">
        <is>
          <t>txtPOPrefix</t>
        </is>
      </c>
      <c r="B35" s="21" t="inlineStr">
        <is>
          <t>txt</t>
        </is>
      </c>
      <c r="C35" s="21" t="inlineStr">
        <is>
          <t>frSystemSettings</t>
        </is>
      </c>
      <c r="D35" s="21" t="inlineStr">
        <is>
          <t>PO Prefix</t>
        </is>
      </c>
      <c r="E35" s="21" t="inlineStr">
        <is>
          <t>بادئة أمر الشراء</t>
        </is>
      </c>
      <c r="F35" s="21" t="inlineStr">
        <is>
          <t>User</t>
        </is>
      </c>
      <c r="G35" s="21" t="inlineStr">
        <is>
          <t>—</t>
        </is>
      </c>
      <c r="H35" s="21" t="inlineStr">
        <is>
          <t>e.g. PO | Max 6 chars</t>
        </is>
      </c>
      <c r="I35" s="21" t="inlineStr">
        <is>
          <t>N</t>
        </is>
      </c>
      <c r="J35" s="21" t="inlineStr">
        <is>
          <t>N</t>
        </is>
      </c>
      <c r="K35" s="21" t="inlineStr">
        <is>
          <t>settings.po_prefix</t>
        </is>
      </c>
      <c r="L35" s="21" t="inlineStr"/>
      <c r="M35" s="22" t="inlineStr"/>
      <c r="N35" s="22" t="inlineStr"/>
    </row>
    <row r="36" ht="15" customHeight="1">
      <c r="A36" s="46" t="inlineStr">
        <is>
          <t>txtSMPrefix</t>
        </is>
      </c>
      <c r="B36" s="7" t="inlineStr">
        <is>
          <t>txt</t>
        </is>
      </c>
      <c r="C36" s="7" t="inlineStr">
        <is>
          <t>frSystemSettings</t>
        </is>
      </c>
      <c r="D36" s="7" t="inlineStr">
        <is>
          <t>Site Master Prefix</t>
        </is>
      </c>
      <c r="E36" s="7" t="inlineStr">
        <is>
          <t>بادئة الموقع</t>
        </is>
      </c>
      <c r="F36" s="7" t="inlineStr">
        <is>
          <t>User</t>
        </is>
      </c>
      <c r="G36" s="7" t="inlineStr">
        <is>
          <t>—</t>
        </is>
      </c>
      <c r="H36" s="7" t="inlineStr">
        <is>
          <t>e.g. SM | Max 6 chars</t>
        </is>
      </c>
      <c r="I36" s="7" t="inlineStr">
        <is>
          <t>N</t>
        </is>
      </c>
      <c r="J36" s="7" t="inlineStr">
        <is>
          <t>N</t>
        </is>
      </c>
      <c r="K36" s="7" t="inlineStr">
        <is>
          <t>settings.sm_prefix</t>
        </is>
      </c>
      <c r="L36" s="7" t="inlineStr"/>
      <c r="M36" s="22" t="inlineStr"/>
      <c r="N36" s="22" t="inlineStr"/>
    </row>
    <row r="37" ht="17" customHeight="1">
      <c r="A37" s="45" t="inlineStr">
        <is>
          <t xml:space="preserve">  ▸  frTelegramSettings  —  Telegram Notifications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4" t="n"/>
    </row>
    <row r="38" ht="15" customHeight="1">
      <c r="A38" s="46" t="inlineStr">
        <is>
          <t>txtTgBotToken</t>
        </is>
      </c>
      <c r="B38" s="7" t="inlineStr">
        <is>
          <t>txt</t>
        </is>
      </c>
      <c r="C38" s="7" t="inlineStr">
        <is>
          <t>frTelegramSettings</t>
        </is>
      </c>
      <c r="D38" s="7" t="inlineStr">
        <is>
          <t>Telegram Bot Token</t>
        </is>
      </c>
      <c r="E38" s="7" t="inlineStr">
        <is>
          <t>رمز بوت تيليجرام</t>
        </is>
      </c>
      <c r="F38" s="7" t="inlineStr">
        <is>
          <t>User</t>
        </is>
      </c>
      <c r="G38" s="7" t="inlineStr">
        <is>
          <t>—</t>
        </is>
      </c>
      <c r="H38" s="7" t="inlineStr">
        <is>
          <t>Masked input | Stored encrypted</t>
        </is>
      </c>
      <c r="I38" s="7" t="inlineStr">
        <is>
          <t>N</t>
        </is>
      </c>
      <c r="J38" s="7" t="inlineStr">
        <is>
          <t>N</t>
        </is>
      </c>
      <c r="K38" s="7" t="inlineStr">
        <is>
          <t>settings.telegram_bot_token</t>
        </is>
      </c>
      <c r="L38" s="7" t="inlineStr">
        <is>
          <t>Never expose in client code. Store via Supabase Edge Function secret.</t>
        </is>
      </c>
      <c r="M38" s="22" t="inlineStr"/>
      <c r="N38" s="22" t="inlineStr"/>
    </row>
    <row r="39" ht="15" customHeight="1">
      <c r="A39" s="46" t="inlineStr">
        <is>
          <t>txtTgChatId</t>
        </is>
      </c>
      <c r="B39" s="21" t="inlineStr">
        <is>
          <t>txt</t>
        </is>
      </c>
      <c r="C39" s="21" t="inlineStr">
        <is>
          <t>frTelegramSettings</t>
        </is>
      </c>
      <c r="D39" s="21" t="inlineStr">
        <is>
          <t>Telegram Chat ID</t>
        </is>
      </c>
      <c r="E39" s="21" t="inlineStr">
        <is>
          <t>معرف محادثة تيليجرام</t>
        </is>
      </c>
      <c r="F39" s="21" t="inlineStr">
        <is>
          <t>User</t>
        </is>
      </c>
      <c r="G39" s="21" t="inlineStr">
        <is>
          <t>—</t>
        </is>
      </c>
      <c r="H39" s="21" t="inlineStr">
        <is>
          <t>Numeric chat ID</t>
        </is>
      </c>
      <c r="I39" s="21" t="inlineStr">
        <is>
          <t>N</t>
        </is>
      </c>
      <c r="J39" s="21" t="inlineStr">
        <is>
          <t>N</t>
        </is>
      </c>
      <c r="K39" s="21" t="inlineStr">
        <is>
          <t>settings.telegram_chat_id</t>
        </is>
      </c>
      <c r="L39" s="21" t="inlineStr"/>
      <c r="M39" s="22" t="inlineStr"/>
      <c r="N39" s="22" t="inlineStr"/>
    </row>
    <row r="40" ht="15" customHeight="1">
      <c r="A40" s="46" t="inlineStr">
        <is>
          <t>cmdSaveSettings</t>
        </is>
      </c>
      <c r="B40" s="7" t="inlineStr">
        <is>
          <t>cmd</t>
        </is>
      </c>
      <c r="C40" s="7" t="inlineStr">
        <is>
          <t>frTelegramSettings</t>
        </is>
      </c>
      <c r="D40" s="7" t="inlineStr">
        <is>
          <t>Save Settings</t>
        </is>
      </c>
      <c r="E40" s="7" t="inlineStr">
        <is>
          <t>حفظ الإعدادات</t>
        </is>
      </c>
      <c r="F40" s="7" t="inlineStr">
        <is>
          <t>—</t>
        </is>
      </c>
      <c r="G40" s="7" t="inlineStr">
        <is>
          <t>—</t>
        </is>
      </c>
      <c r="H40" s="7" t="inlineStr">
        <is>
          <t>Primary button | ADMIN/SUPERADMIN only</t>
        </is>
      </c>
      <c r="I40" s="7" t="inlineStr">
        <is>
          <t>—</t>
        </is>
      </c>
      <c r="J40" s="7" t="inlineStr">
        <is>
          <t>—</t>
        </is>
      </c>
      <c r="K40" s="7" t="inlineStr">
        <is>
          <t>—</t>
        </is>
      </c>
      <c r="L40" s="7" t="inlineStr"/>
      <c r="M40" s="22" t="inlineStr"/>
      <c r="N40" s="22" t="inlineStr"/>
    </row>
  </sheetData>
  <mergeCells count="8">
    <mergeCell ref="A4:N4"/>
    <mergeCell ref="A20:N20"/>
    <mergeCell ref="A26:N26"/>
    <mergeCell ref="A2:N2"/>
    <mergeCell ref="A16:N16"/>
    <mergeCell ref="A30:N30"/>
    <mergeCell ref="A37:N37"/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20" customWidth="1" min="4" max="4"/>
    <col width="16" customWidth="1" min="5" max="5"/>
    <col width="26" customWidth="1" min="6" max="6"/>
    <col width="14" customWidth="1" min="7" max="7"/>
    <col width="22" customWidth="1" min="8" max="8"/>
    <col width="9" customWidth="1" min="9" max="9"/>
    <col width="9" customWidth="1" min="10" max="10"/>
    <col width="22" customWidth="1" min="11" max="11"/>
    <col width="30" customWidth="1" min="12" max="12"/>
    <col width="20" customWidth="1" min="13" max="13"/>
    <col width="18" customWidth="1" min="14" max="14"/>
  </cols>
  <sheetData>
    <row r="1" ht="26" customHeight="1">
      <c r="A1" s="29" t="inlineStr">
        <is>
          <t>rpt_Filters  —  Report Filter Controls  |  All Report Pages</t>
        </is>
      </c>
    </row>
    <row r="2">
      <c r="A2" s="17" t="inlineStr">
        <is>
          <t>Yellow columns = your corrections. Fill these in then return the file as the spec.</t>
        </is>
      </c>
    </row>
    <row r="3" ht="32" customHeight="1">
      <c r="A3" s="30" t="inlineStr">
        <is>
          <t>Control Name (VBA)</t>
        </is>
      </c>
      <c r="B3" s="30" t="inlineStr">
        <is>
          <t>Type</t>
        </is>
      </c>
      <c r="C3" s="30" t="inlineStr">
        <is>
          <t>Frame / Section</t>
        </is>
      </c>
      <c r="D3" s="30" t="inlineStr">
        <is>
          <t>Label — English</t>
        </is>
      </c>
      <c r="E3" s="30" t="inlineStr">
        <is>
          <t>Label — Arabic</t>
        </is>
      </c>
      <c r="F3" s="30" t="inlineStr">
        <is>
          <t>Data Source / Table</t>
        </is>
      </c>
      <c r="G3" s="30" t="inlineStr">
        <is>
          <t>Depends On</t>
        </is>
      </c>
      <c r="H3" s="30" t="inlineStr">
        <is>
          <t>Format / Validation</t>
        </is>
      </c>
      <c r="I3" s="30" t="inlineStr">
        <is>
          <t>Required</t>
        </is>
      </c>
      <c r="J3" s="30" t="inlineStr">
        <is>
          <t>Read-Only</t>
        </is>
      </c>
      <c r="K3" s="30" t="inlineStr">
        <is>
          <t>DB Column (current)</t>
        </is>
      </c>
      <c r="L3" s="30" t="inlineStr">
        <is>
          <t>Business Rules / Notes</t>
        </is>
      </c>
      <c r="M3" s="30" t="inlineStr">
        <is>
          <t>✏ Your Correction</t>
        </is>
      </c>
      <c r="N3" s="30" t="inlineStr">
        <is>
          <t>✏ New DB Column</t>
        </is>
      </c>
    </row>
    <row r="4" ht="17" customHeight="1">
      <c r="A4" s="47" t="inlineStr">
        <is>
          <t xml:space="preserve">  ▸  frDateRange  —  Common Date Range Filter (all reports)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4" t="n"/>
    </row>
    <row r="5" ht="15" customHeight="1">
      <c r="A5" s="48" t="inlineStr">
        <is>
          <t>txtDateFrom</t>
        </is>
      </c>
      <c r="B5" s="21" t="inlineStr">
        <is>
          <t>txt</t>
        </is>
      </c>
      <c r="C5" s="21" t="inlineStr">
        <is>
          <t>frDateRange</t>
        </is>
      </c>
      <c r="D5" s="21" t="inlineStr">
        <is>
          <t>Date From *</t>
        </is>
      </c>
      <c r="E5" s="21" t="inlineStr">
        <is>
          <t>من تاريخ *</t>
        </is>
      </c>
      <c r="F5" s="21" t="inlineStr">
        <is>
          <t>User</t>
        </is>
      </c>
      <c r="G5" s="21" t="inlineStr">
        <is>
          <t>—</t>
        </is>
      </c>
      <c r="H5" s="21" t="inlineStr">
        <is>
          <t>DD/MM/YYYY</t>
        </is>
      </c>
      <c r="I5" s="21" t="inlineStr">
        <is>
          <t>Y</t>
        </is>
      </c>
      <c r="J5" s="21" t="inlineStr">
        <is>
          <t>N</t>
        </is>
      </c>
      <c r="K5" s="21" t="inlineStr">
        <is>
          <t>filter_date_from (param)</t>
        </is>
      </c>
      <c r="L5" s="21" t="inlineStr"/>
      <c r="M5" s="22" t="inlineStr"/>
      <c r="N5" s="22" t="inlineStr"/>
    </row>
    <row r="6" ht="15" customHeight="1">
      <c r="A6" s="48" t="inlineStr">
        <is>
          <t>txtDateTo</t>
        </is>
      </c>
      <c r="B6" s="7" t="inlineStr">
        <is>
          <t>txt</t>
        </is>
      </c>
      <c r="C6" s="7" t="inlineStr">
        <is>
          <t>frDateRange</t>
        </is>
      </c>
      <c r="D6" s="7" t="inlineStr">
        <is>
          <t>Date To *</t>
        </is>
      </c>
      <c r="E6" s="7" t="inlineStr">
        <is>
          <t>إلى تاريخ *</t>
        </is>
      </c>
      <c r="F6" s="7" t="inlineStr">
        <is>
          <t>User</t>
        </is>
      </c>
      <c r="G6" s="7" t="inlineStr">
        <is>
          <t>—</t>
        </is>
      </c>
      <c r="H6" s="7" t="inlineStr">
        <is>
          <t>DD/MM/YYYY | ≥ DateFrom</t>
        </is>
      </c>
      <c r="I6" s="7" t="inlineStr">
        <is>
          <t>Y</t>
        </is>
      </c>
      <c r="J6" s="7" t="inlineStr">
        <is>
          <t>N</t>
        </is>
      </c>
      <c r="K6" s="7" t="inlineStr">
        <is>
          <t>filter_date_to (param)</t>
        </is>
      </c>
      <c r="L6" s="7" t="inlineStr"/>
      <c r="M6" s="22" t="inlineStr"/>
      <c r="N6" s="22" t="inlineStr"/>
    </row>
    <row r="7" ht="15" customHeight="1">
      <c r="A7" s="48" t="inlineStr">
        <is>
          <t>cboQuickRange</t>
        </is>
      </c>
      <c r="B7" s="21" t="inlineStr">
        <is>
          <t>cbo</t>
        </is>
      </c>
      <c r="C7" s="21" t="inlineStr">
        <is>
          <t>frDateRange</t>
        </is>
      </c>
      <c r="D7" s="21" t="inlineStr">
        <is>
          <t>Quick Range</t>
        </is>
      </c>
      <c r="E7" s="21" t="inlineStr">
        <is>
          <t>نطاق سريع</t>
        </is>
      </c>
      <c r="F7" s="21" t="inlineStr">
        <is>
          <t>Hardcoded</t>
        </is>
      </c>
      <c r="G7" s="21" t="inlineStr">
        <is>
          <t>—</t>
        </is>
      </c>
      <c r="H7" s="21" t="inlineStr">
        <is>
          <t>TODAY|THIS_WEEK|THIS_MONTH|THIS_QUARTER|THIS_YEAR|CUSTOM</t>
        </is>
      </c>
      <c r="I7" s="21" t="inlineStr">
        <is>
          <t>N</t>
        </is>
      </c>
      <c r="J7" s="21" t="inlineStr">
        <is>
          <t>N</t>
        </is>
      </c>
      <c r="K7" s="21" t="inlineStr">
        <is>
          <t>— (UI helper)</t>
        </is>
      </c>
      <c r="L7" s="21" t="inlineStr">
        <is>
          <t>Sets DateFrom/DateTo automatically. CUSTOM = manual entry.</t>
        </is>
      </c>
      <c r="M7" s="22" t="inlineStr"/>
      <c r="N7" s="22" t="inlineStr"/>
    </row>
    <row r="8" ht="17" customHeight="1">
      <c r="A8" s="47" t="inlineStr">
        <is>
          <t xml:space="preserve">  ▸  frEntityFilter  —  Entity Filter (SUPERADMIN only)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4" t="n"/>
    </row>
    <row r="9" ht="15" customHeight="1">
      <c r="A9" s="48" t="inlineStr">
        <is>
          <t>cboEntity</t>
        </is>
      </c>
      <c r="B9" s="21" t="inlineStr">
        <is>
          <t>cbo</t>
        </is>
      </c>
      <c r="C9" s="21" t="inlineStr">
        <is>
          <t>frEntityFilter</t>
        </is>
      </c>
      <c r="D9" s="21" t="inlineStr">
        <is>
          <t>Entity</t>
        </is>
      </c>
      <c r="E9" s="21" t="inlineStr">
        <is>
          <t>المنشأة</t>
        </is>
      </c>
      <c r="F9" s="21" t="inlineStr">
        <is>
          <t>entities</t>
        </is>
      </c>
      <c r="G9" s="21" t="inlineStr">
        <is>
          <t>—</t>
        </is>
      </c>
      <c r="H9" s="21" t="inlineStr">
        <is>
          <t>ALL|RAT|GWT|ACCSYS</t>
        </is>
      </c>
      <c r="I9" s="21" t="inlineStr">
        <is>
          <t>N</t>
        </is>
      </c>
      <c r="J9" s="21" t="inlineStr">
        <is>
          <t>N</t>
        </is>
      </c>
      <c r="K9" s="21" t="inlineStr">
        <is>
          <t>filter_entity (param)</t>
        </is>
      </c>
      <c r="L9" s="21" t="inlineStr">
        <is>
          <t>Non-SUPERADMIN sees only their entity.</t>
        </is>
      </c>
      <c r="M9" s="22" t="inlineStr"/>
      <c r="N9" s="22" t="inlineStr"/>
    </row>
    <row r="10" ht="17" customHeight="1">
      <c r="A10" s="47" t="inlineStr">
        <is>
          <t xml:space="preserve">  ▸  frDeptFilter  —  Department Filter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4" t="n"/>
    </row>
    <row r="11" ht="15" customHeight="1">
      <c r="A11" s="48" t="inlineStr">
        <is>
          <t>cboDept</t>
        </is>
      </c>
      <c r="B11" s="21" t="inlineStr">
        <is>
          <t>cbo</t>
        </is>
      </c>
      <c r="C11" s="21" t="inlineStr">
        <is>
          <t>frDeptFilter</t>
        </is>
      </c>
      <c r="D11" s="21" t="inlineStr">
        <is>
          <t>Department</t>
        </is>
      </c>
      <c r="E11" s="21" t="inlineStr">
        <is>
          <t>القسم</t>
        </is>
      </c>
      <c r="F11" s="21" t="inlineStr">
        <is>
          <t>departments WHERE entity</t>
        </is>
      </c>
      <c r="G11" s="21" t="inlineStr">
        <is>
          <t>—</t>
        </is>
      </c>
      <c r="H11" s="21" t="inlineStr">
        <is>
          <t>ALL + departments</t>
        </is>
      </c>
      <c r="I11" s="21" t="inlineStr">
        <is>
          <t>N</t>
        </is>
      </c>
      <c r="J11" s="21" t="inlineStr">
        <is>
          <t>N</t>
        </is>
      </c>
      <c r="K11" s="21" t="inlineStr">
        <is>
          <t>filter_dept_id (param)</t>
        </is>
      </c>
      <c r="L11" s="21" t="inlineStr">
        <is>
          <t>DEPT_HEAD sees only their dept.</t>
        </is>
      </c>
      <c r="M11" s="22" t="inlineStr"/>
      <c r="N11" s="22" t="inlineStr"/>
    </row>
    <row r="12" ht="17" customHeight="1">
      <c r="A12" s="47" t="inlineStr">
        <is>
          <t xml:space="preserve">  ▸  frEmpFilter  —  Employee Filter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4" t="n"/>
    </row>
    <row r="13" ht="15" customHeight="1">
      <c r="A13" s="48" t="inlineStr">
        <is>
          <t>cboEmployee</t>
        </is>
      </c>
      <c r="B13" s="21" t="inlineStr">
        <is>
          <t>cbo</t>
        </is>
      </c>
      <c r="C13" s="21" t="inlineStr">
        <is>
          <t>frEmpFilter</t>
        </is>
      </c>
      <c r="D13" s="21" t="inlineStr">
        <is>
          <t>Employee</t>
        </is>
      </c>
      <c r="E13" s="21" t="inlineStr">
        <is>
          <t>الموظف</t>
        </is>
      </c>
      <c r="F13" s="21" t="inlineStr">
        <is>
          <t>employees WHERE entity + dept</t>
        </is>
      </c>
      <c r="G13" s="21" t="inlineStr">
        <is>
          <t>cboDept</t>
        </is>
      </c>
      <c r="H13" s="21" t="inlineStr">
        <is>
          <t>ALL + employees</t>
        </is>
      </c>
      <c r="I13" s="21" t="inlineStr">
        <is>
          <t>N</t>
        </is>
      </c>
      <c r="J13" s="21" t="inlineStr">
        <is>
          <t>N</t>
        </is>
      </c>
      <c r="K13" s="21" t="inlineStr">
        <is>
          <t>filter_employee_id (param)</t>
        </is>
      </c>
      <c r="L13" s="21" t="inlineStr"/>
      <c r="M13" s="22" t="inlineStr"/>
      <c r="N13" s="22" t="inlineStr"/>
    </row>
    <row r="14" ht="17" customHeight="1">
      <c r="A14" s="47" t="inlineStr">
        <is>
          <t xml:space="preserve">  ▸  frProjFilter  —  Project Filter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4" t="n"/>
    </row>
    <row r="15" ht="15" customHeight="1">
      <c r="A15" s="48" t="inlineStr">
        <is>
          <t>cboProject</t>
        </is>
      </c>
      <c r="B15" s="21" t="inlineStr">
        <is>
          <t>cbo</t>
        </is>
      </c>
      <c r="C15" s="21" t="inlineStr">
        <is>
          <t>frProjFilter</t>
        </is>
      </c>
      <c r="D15" s="21" t="inlineStr">
        <is>
          <t>Project</t>
        </is>
      </c>
      <c r="E15" s="21" t="inlineStr">
        <is>
          <t>المشروع</t>
        </is>
      </c>
      <c r="F15" s="21" t="inlineStr">
        <is>
          <t>projects WHERE entity</t>
        </is>
      </c>
      <c r="G15" s="21" t="inlineStr">
        <is>
          <t>—</t>
        </is>
      </c>
      <c r="H15" s="21" t="inlineStr">
        <is>
          <t>ALL + projects</t>
        </is>
      </c>
      <c r="I15" s="21" t="inlineStr">
        <is>
          <t>N</t>
        </is>
      </c>
      <c r="J15" s="21" t="inlineStr">
        <is>
          <t>N</t>
        </is>
      </c>
      <c r="K15" s="21" t="inlineStr">
        <is>
          <t>filter_project_id (param)</t>
        </is>
      </c>
      <c r="L15" s="21" t="inlineStr"/>
      <c r="M15" s="22" t="inlineStr"/>
      <c r="N15" s="22" t="inlineStr"/>
    </row>
    <row r="16" ht="17" customHeight="1">
      <c r="A16" s="47" t="inlineStr">
        <is>
          <t xml:space="preserve">  ▸  frStatusFilter  —  Status Filter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 t="n"/>
    </row>
    <row r="17" ht="15" customHeight="1">
      <c r="A17" s="48" t="inlineStr">
        <is>
          <t>cboStatus</t>
        </is>
      </c>
      <c r="B17" s="21" t="inlineStr">
        <is>
          <t>cbo</t>
        </is>
      </c>
      <c r="C17" s="21" t="inlineStr">
        <is>
          <t>frStatusFilter</t>
        </is>
      </c>
      <c r="D17" s="21" t="inlineStr">
        <is>
          <t>Status</t>
        </is>
      </c>
      <c r="E17" s="21" t="inlineStr">
        <is>
          <t>الحالة</t>
        </is>
      </c>
      <c r="F17" s="21" t="inlineStr">
        <is>
          <t>Varies per report</t>
        </is>
      </c>
      <c r="G17" s="21" t="inlineStr">
        <is>
          <t>—</t>
        </is>
      </c>
      <c r="H17" s="21" t="inlineStr">
        <is>
          <t>ALL + statuses</t>
        </is>
      </c>
      <c r="I17" s="21" t="inlineStr">
        <is>
          <t>N</t>
        </is>
      </c>
      <c r="J17" s="21" t="inlineStr">
        <is>
          <t>N</t>
        </is>
      </c>
      <c r="K17" s="21" t="inlineStr">
        <is>
          <t>filter_status (param)</t>
        </is>
      </c>
      <c r="L17" s="21" t="inlineStr">
        <is>
          <t>Source list varies: invoice statuses, leave statuses, etc.</t>
        </is>
      </c>
      <c r="M17" s="22" t="inlineStr"/>
      <c r="N17" s="22" t="inlineStr"/>
    </row>
    <row r="18" ht="17" customHeight="1">
      <c r="A18" s="47" t="inlineStr">
        <is>
          <t xml:space="preserve">  ▸  frExport  —  Export Actions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 t="n"/>
    </row>
    <row r="19" ht="15" customHeight="1">
      <c r="A19" s="48" t="inlineStr">
        <is>
          <t>cmdExportPDF</t>
        </is>
      </c>
      <c r="B19" s="21" t="inlineStr">
        <is>
          <t>cmd</t>
        </is>
      </c>
      <c r="C19" s="21" t="inlineStr">
        <is>
          <t>frExport</t>
        </is>
      </c>
      <c r="D19" s="21" t="inlineStr">
        <is>
          <t>Export to PDF</t>
        </is>
      </c>
      <c r="E19" s="21" t="inlineStr">
        <is>
          <t>تصدير PDF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Generates PDF of current report view</t>
        </is>
      </c>
      <c r="I19" s="21" t="inlineStr">
        <is>
          <t>—</t>
        </is>
      </c>
      <c r="J19" s="21" t="inlineStr">
        <is>
          <t>—</t>
        </is>
      </c>
      <c r="K19" s="21" t="inlineStr">
        <is>
          <t>—</t>
        </is>
      </c>
      <c r="L19" s="21" t="inlineStr"/>
      <c r="M19" s="22" t="inlineStr"/>
      <c r="N19" s="22" t="inlineStr"/>
    </row>
    <row r="20" ht="15" customHeight="1">
      <c r="A20" s="48" t="inlineStr">
        <is>
          <t>cmdExportXLSX</t>
        </is>
      </c>
      <c r="B20" s="7" t="inlineStr">
        <is>
          <t>cmd</t>
        </is>
      </c>
      <c r="C20" s="7" t="inlineStr">
        <is>
          <t>frExport</t>
        </is>
      </c>
      <c r="D20" s="7" t="inlineStr">
        <is>
          <t>Export to Excel</t>
        </is>
      </c>
      <c r="E20" s="7" t="inlineStr">
        <is>
          <t>تصدير Excel</t>
        </is>
      </c>
      <c r="F20" s="7" t="inlineStr">
        <is>
          <t>—</t>
        </is>
      </c>
      <c r="G20" s="7" t="inlineStr">
        <is>
          <t>—</t>
        </is>
      </c>
      <c r="H20" s="7" t="inlineStr">
        <is>
          <t>Exports filtered data as .xlsx</t>
        </is>
      </c>
      <c r="I20" s="7" t="inlineStr">
        <is>
          <t>—</t>
        </is>
      </c>
      <c r="J20" s="7" t="inlineStr">
        <is>
          <t>—</t>
        </is>
      </c>
      <c r="K20" s="7" t="inlineStr">
        <is>
          <t>—</t>
        </is>
      </c>
      <c r="L20" s="7" t="inlineStr"/>
      <c r="M20" s="22" t="inlineStr"/>
      <c r="N20" s="22" t="inlineStr"/>
    </row>
    <row r="21" ht="15" customHeight="1">
      <c r="A21" s="48" t="inlineStr">
        <is>
          <t>cmdPrint</t>
        </is>
      </c>
      <c r="B21" s="21" t="inlineStr">
        <is>
          <t>cmd</t>
        </is>
      </c>
      <c r="C21" s="21" t="inlineStr">
        <is>
          <t>frExport</t>
        </is>
      </c>
      <c r="D21" s="21" t="inlineStr">
        <is>
          <t>Print</t>
        </is>
      </c>
      <c r="E21" s="21" t="inlineStr">
        <is>
          <t>طباعة</t>
        </is>
      </c>
      <c r="F21" s="21" t="inlineStr">
        <is>
          <t>—</t>
        </is>
      </c>
      <c r="G21" s="21" t="inlineStr">
        <is>
          <t>—</t>
        </is>
      </c>
      <c r="H21" s="21" t="inlineStr">
        <is>
          <t>Opens browser print dialog</t>
        </is>
      </c>
      <c r="I21" s="21" t="inlineStr">
        <is>
          <t>—</t>
        </is>
      </c>
      <c r="J21" s="21" t="inlineStr">
        <is>
          <t>—</t>
        </is>
      </c>
      <c r="K21" s="21" t="inlineStr">
        <is>
          <t>—</t>
        </is>
      </c>
      <c r="L21" s="21" t="inlineStr"/>
      <c r="M21" s="22" t="inlineStr"/>
      <c r="N21" s="22" t="inlineStr"/>
    </row>
    <row r="22" ht="17" customHeight="1">
      <c r="A22" s="47" t="inlineStr">
        <is>
          <t xml:space="preserve">  ▸  frSpecificRpts  —  Report-Specific Filter Extensions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4" t="n"/>
    </row>
    <row r="23" ht="15" customHeight="1">
      <c r="A23" s="48" t="inlineStr">
        <is>
          <t>cboLeaveType</t>
        </is>
      </c>
      <c r="B23" s="21" t="inlineStr">
        <is>
          <t>cbo</t>
        </is>
      </c>
      <c r="C23" s="21" t="inlineStr">
        <is>
          <t>frSpecificRpts</t>
        </is>
      </c>
      <c r="D23" s="21" t="inlineStr">
        <is>
          <t>Leave Type  [rptVacations]</t>
        </is>
      </c>
      <c r="E23" s="21" t="inlineStr">
        <is>
          <t>نوع الإجازة</t>
        </is>
      </c>
      <c r="F23" s="21" t="inlineStr">
        <is>
          <t>LEAVE_TYPES</t>
        </is>
      </c>
      <c r="G23" s="21" t="inlineStr">
        <is>
          <t>—</t>
        </is>
      </c>
      <c r="H23" s="21" t="inlineStr">
        <is>
          <t>ALL + types</t>
        </is>
      </c>
      <c r="I23" s="21" t="inlineStr">
        <is>
          <t>—</t>
        </is>
      </c>
      <c r="J23" s="21" t="inlineStr">
        <is>
          <t>—</t>
        </is>
      </c>
      <c r="K23" s="21" t="inlineStr">
        <is>
          <t>filter_leave_type</t>
        </is>
      </c>
      <c r="L23" s="21" t="inlineStr">
        <is>
          <t>Used only in Vacations report.</t>
        </is>
      </c>
      <c r="M23" s="22" t="inlineStr"/>
      <c r="N23" s="22" t="inlineStr"/>
    </row>
    <row r="24" ht="15" customHeight="1">
      <c r="A24" s="48" t="inlineStr">
        <is>
          <t>cboVoucherType</t>
        </is>
      </c>
      <c r="B24" s="7" t="inlineStr">
        <is>
          <t>cbo</t>
        </is>
      </c>
      <c r="C24" s="7" t="inlineStr">
        <is>
          <t>frSpecificRpts</t>
        </is>
      </c>
      <c r="D24" s="7" t="inlineStr">
        <is>
          <t>Voucher Type  [rptJV]</t>
        </is>
      </c>
      <c r="E24" s="7" t="inlineStr">
        <is>
          <t>نوع السند</t>
        </is>
      </c>
      <c r="F24" s="7" t="inlineStr">
        <is>
          <t>VOUCHER_TYPES</t>
        </is>
      </c>
      <c r="G24" s="7" t="inlineStr">
        <is>
          <t>—</t>
        </is>
      </c>
      <c r="H24" s="7" t="inlineStr">
        <is>
          <t>ALL + JV/PV/RV…</t>
        </is>
      </c>
      <c r="I24" s="7" t="inlineStr">
        <is>
          <t>—</t>
        </is>
      </c>
      <c r="J24" s="7" t="inlineStr">
        <is>
          <t>—</t>
        </is>
      </c>
      <c r="K24" s="7" t="inlineStr">
        <is>
          <t>filter_voucher_type</t>
        </is>
      </c>
      <c r="L24" s="7" t="inlineStr">
        <is>
          <t>Used in JV report.</t>
        </is>
      </c>
      <c r="M24" s="22" t="inlineStr"/>
      <c r="N24" s="22" t="inlineStr"/>
    </row>
    <row r="25" ht="15" customHeight="1">
      <c r="A25" s="48" t="inlineStr">
        <is>
          <t>cboAssetCat</t>
        </is>
      </c>
      <c r="B25" s="21" t="inlineStr">
        <is>
          <t>cbo</t>
        </is>
      </c>
      <c r="C25" s="21" t="inlineStr">
        <is>
          <t>frSpecificRpts</t>
        </is>
      </c>
      <c r="D25" s="21" t="inlineStr">
        <is>
          <t>Asset Category  [rptFixedAssets]</t>
        </is>
      </c>
      <c r="E25" s="21" t="inlineStr">
        <is>
          <t>فئة الأصل</t>
        </is>
      </c>
      <c r="F25" s="21" t="inlineStr">
        <is>
          <t>ASSET_CATEGORIES</t>
        </is>
      </c>
      <c r="G25" s="21" t="inlineStr">
        <is>
          <t>—</t>
        </is>
      </c>
      <c r="H25" s="21" t="inlineStr">
        <is>
          <t>ALL + categories</t>
        </is>
      </c>
      <c r="I25" s="21" t="inlineStr">
        <is>
          <t>—</t>
        </is>
      </c>
      <c r="J25" s="21" t="inlineStr">
        <is>
          <t>—</t>
        </is>
      </c>
      <c r="K25" s="21" t="inlineStr">
        <is>
          <t>filter_category</t>
        </is>
      </c>
      <c r="L25" s="21" t="inlineStr">
        <is>
          <t>Used in Fixed Assets report.</t>
        </is>
      </c>
      <c r="M25" s="22" t="inlineStr"/>
      <c r="N25" s="22" t="inlineStr"/>
    </row>
    <row r="26" ht="15" customHeight="1">
      <c r="A26" s="48" t="inlineStr">
        <is>
          <t>cboChequeType</t>
        </is>
      </c>
      <c r="B26" s="7" t="inlineStr">
        <is>
          <t>cbo</t>
        </is>
      </c>
      <c r="C26" s="7" t="inlineStr">
        <is>
          <t>frSpecificRpts</t>
        </is>
      </c>
      <c r="D26" s="7" t="inlineStr">
        <is>
          <t>Cheque Type  [rptCheques]</t>
        </is>
      </c>
      <c r="E26" s="7" t="inlineStr">
        <is>
          <t>نوع الشيك</t>
        </is>
      </c>
      <c r="F26" s="7" t="inlineStr">
        <is>
          <t>Hardcoded</t>
        </is>
      </c>
      <c r="G26" s="7" t="inlineStr">
        <is>
          <t>—</t>
        </is>
      </c>
      <c r="H26" s="7" t="inlineStr">
        <is>
          <t>ALL|ISSUED|RECEIVED</t>
        </is>
      </c>
      <c r="I26" s="7" t="inlineStr">
        <is>
          <t>—</t>
        </is>
      </c>
      <c r="J26" s="7" t="inlineStr">
        <is>
          <t>—</t>
        </is>
      </c>
      <c r="K26" s="7" t="inlineStr">
        <is>
          <t>filter_cheque_type</t>
        </is>
      </c>
      <c r="L26" s="7" t="inlineStr">
        <is>
          <t>Used in Cheques report.</t>
        </is>
      </c>
      <c r="M26" s="22" t="inlineStr"/>
      <c r="N26" s="22" t="inlineStr"/>
    </row>
    <row r="27" ht="15" customHeight="1">
      <c r="A27" s="48" t="inlineStr">
        <is>
          <t>cboPayrollMonth</t>
        </is>
      </c>
      <c r="B27" s="21" t="inlineStr">
        <is>
          <t>cbo</t>
        </is>
      </c>
      <c r="C27" s="21" t="inlineStr">
        <is>
          <t>frSpecificRpts</t>
        </is>
      </c>
      <c r="D27" s="21" t="inlineStr">
        <is>
          <t>Payroll Month  [rptPayroll]</t>
        </is>
      </c>
      <c r="E27" s="21" t="inlineStr">
        <is>
          <t>شهر الرواتب</t>
        </is>
      </c>
      <c r="F27" s="21" t="inlineStr">
        <is>
          <t>Month list</t>
        </is>
      </c>
      <c r="G27" s="21" t="inlineStr">
        <is>
          <t>—</t>
        </is>
      </c>
      <c r="H27" s="21" t="inlineStr">
        <is>
          <t>YYYY-MM</t>
        </is>
      </c>
      <c r="I27" s="21" t="inlineStr">
        <is>
          <t>—</t>
        </is>
      </c>
      <c r="J27" s="21" t="inlineStr">
        <is>
          <t>—</t>
        </is>
      </c>
      <c r="K27" s="21" t="inlineStr">
        <is>
          <t>filter_payroll_month</t>
        </is>
      </c>
      <c r="L27" s="21" t="inlineStr">
        <is>
          <t>Used in Payroll report.</t>
        </is>
      </c>
      <c r="M27" s="22" t="inlineStr"/>
      <c r="N27" s="22" t="inlineStr"/>
    </row>
  </sheetData>
  <mergeCells count="10">
    <mergeCell ref="A18:N18"/>
    <mergeCell ref="A8:N8"/>
    <mergeCell ref="A22:N22"/>
    <mergeCell ref="A12:N12"/>
    <mergeCell ref="A4:N4"/>
    <mergeCell ref="A2:N2"/>
    <mergeCell ref="A16:N16"/>
    <mergeCell ref="A10:N10"/>
    <mergeCell ref="A14:N14"/>
    <mergeCell ref="A1:N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2" customWidth="1" min="4" max="4"/>
    <col width="24" customWidth="1" min="5" max="5"/>
    <col width="18" customWidth="1" min="6" max="6"/>
    <col width="16" customWidth="1" min="7" max="7"/>
    <col width="30" customWidth="1" min="8" max="8"/>
  </cols>
  <sheetData>
    <row r="1" ht="26" customHeight="1">
      <c r="A1" s="29" t="inlineStr">
        <is>
          <t>cboSources  —  Dropdown / Combo Box Source Reference</t>
        </is>
      </c>
    </row>
    <row r="2">
      <c r="A2" s="17" t="inlineStr">
        <is>
          <t>All combo box (cbo) data sources used across the application.</t>
        </is>
      </c>
    </row>
    <row r="3" ht="28" customHeight="1">
      <c r="A3" s="30" t="inlineStr">
        <is>
          <t>Source Name</t>
        </is>
      </c>
      <c r="B3" s="30" t="inlineStr">
        <is>
          <t>Used In (Forms)</t>
        </is>
      </c>
      <c r="C3" s="30" t="inlineStr">
        <is>
          <t>Type</t>
        </is>
      </c>
      <c r="D3" s="30" t="inlineStr">
        <is>
          <t>DB Table / API</t>
        </is>
      </c>
      <c r="E3" s="30" t="inlineStr">
        <is>
          <t>Filter Condition</t>
        </is>
      </c>
      <c r="F3" s="30" t="inlineStr">
        <is>
          <t>Display Field</t>
        </is>
      </c>
      <c r="G3" s="30" t="inlineStr">
        <is>
          <t>Value Field</t>
        </is>
      </c>
      <c r="H3" s="30" t="inlineStr">
        <is>
          <t>Notes</t>
        </is>
      </c>
    </row>
    <row r="4" ht="14" customHeight="1">
      <c r="A4" s="48" t="inlineStr">
        <is>
          <t>entities</t>
        </is>
      </c>
      <c r="B4" s="7" t="inlineStr">
        <is>
          <t>ALL forms with entity filter</t>
        </is>
      </c>
      <c r="C4" s="7" t="inlineStr">
        <is>
          <t>Hardcoded</t>
        </is>
      </c>
      <c r="D4" s="7" t="inlineStr">
        <is>
          <t>—</t>
        </is>
      </c>
      <c r="E4" s="7" t="inlineStr">
        <is>
          <t>—</t>
        </is>
      </c>
      <c r="F4" s="7" t="inlineStr">
        <is>
          <t>RAT / GWT / ACCSYS</t>
        </is>
      </c>
      <c r="G4" s="7" t="inlineStr">
        <is>
          <t>RAT|GWT|ACCSYS</t>
        </is>
      </c>
      <c r="H4" s="7" t="inlineStr">
        <is>
          <t>3 entities only. Hardcoded in frontend.</t>
        </is>
      </c>
    </row>
    <row r="5" ht="14" customHeight="1">
      <c r="A5" s="48" t="inlineStr">
        <is>
          <t>departments</t>
        </is>
      </c>
      <c r="B5" s="21" t="inlineStr">
        <is>
          <t>frMoneyReq, frExpense, frmEmployees, frmSiteMaster, frmPO, frmSiteAssignment, rpt</t>
        </is>
      </c>
      <c r="C5" s="21" t="inlineStr">
        <is>
          <t>Supabase table</t>
        </is>
      </c>
      <c r="D5" s="21" t="inlineStr">
        <is>
          <t>departments</t>
        </is>
      </c>
      <c r="E5" s="21" t="inlineStr">
        <is>
          <t>WHERE entity_id = current_entity</t>
        </is>
      </c>
      <c r="F5" s="21" t="inlineStr">
        <is>
          <t>dept_code + dept_name</t>
        </is>
      </c>
      <c r="G5" s="21" t="inlineStr">
        <is>
          <t>id (UUID)</t>
        </is>
      </c>
      <c r="H5" s="21" t="inlineStr">
        <is>
          <t>Filtered by logged-in user's entity.</t>
        </is>
      </c>
    </row>
    <row r="6" ht="14" customHeight="1">
      <c r="A6" s="48" t="inlineStr">
        <is>
          <t>employees (active)</t>
        </is>
      </c>
      <c r="B6" s="7" t="inlineStr">
        <is>
          <t>frmVacations, frmLoans, frmStaffActions, frmPayroll, frmSiteAssignment, rpt</t>
        </is>
      </c>
      <c r="C6" s="7" t="inlineStr">
        <is>
          <t>Supabase table</t>
        </is>
      </c>
      <c r="D6" s="7" t="inlineStr">
        <is>
          <t>employees</t>
        </is>
      </c>
      <c r="E6" s="7" t="inlineStr">
        <is>
          <t>WHERE entity_id AND is_active = true</t>
        </is>
      </c>
      <c r="F6" s="7" t="inlineStr">
        <is>
          <t>full_name</t>
        </is>
      </c>
      <c r="G6" s="7" t="inlineStr">
        <is>
          <t>id (UUID)</t>
        </is>
      </c>
      <c r="H6" s="7" t="inlineStr">
        <is>
          <t>DEPT_HEAD sees only their dept's employees.</t>
        </is>
      </c>
    </row>
    <row r="7" ht="14" customHeight="1">
      <c r="A7" s="48" t="inlineStr">
        <is>
          <t>employees (all)</t>
        </is>
      </c>
      <c r="B7" s="21" t="inlineStr">
        <is>
          <t>rpt_Filters (historical reports)</t>
        </is>
      </c>
      <c r="C7" s="21" t="inlineStr">
        <is>
          <t>Supabase table</t>
        </is>
      </c>
      <c r="D7" s="21" t="inlineStr">
        <is>
          <t>employees</t>
        </is>
      </c>
      <c r="E7" s="21" t="inlineStr">
        <is>
          <t>WHERE entity_id</t>
        </is>
      </c>
      <c r="F7" s="21" t="inlineStr">
        <is>
          <t>full_name</t>
        </is>
      </c>
      <c r="G7" s="21" t="inlineStr">
        <is>
          <t>id (UUID)</t>
        </is>
      </c>
      <c r="H7" s="21" t="inlineStr">
        <is>
          <t>Includes terminated employees for historical reports.</t>
        </is>
      </c>
    </row>
    <row r="8" ht="14" customHeight="1">
      <c r="A8" s="48" t="inlineStr">
        <is>
          <t>contractors</t>
        </is>
      </c>
      <c r="B8" s="7" t="inlineStr">
        <is>
          <t>frmContractors, frmSiteMaster, frmPO_Admin, frmReceipts, frmCheques</t>
        </is>
      </c>
      <c r="C8" s="7" t="inlineStr">
        <is>
          <t>Supabase table</t>
        </is>
      </c>
      <c r="D8" s="7" t="inlineStr">
        <is>
          <t>contractors</t>
        </is>
      </c>
      <c r="E8" s="7" t="inlineStr">
        <is>
          <t>WHERE entity_id AND status=ACTIVE</t>
        </is>
      </c>
      <c r="F8" s="7" t="inlineStr">
        <is>
          <t>name</t>
        </is>
      </c>
      <c r="G8" s="7" t="inlineStr">
        <is>
          <t>id (UUID)</t>
        </is>
      </c>
      <c r="H8" s="7" t="inlineStr">
        <is>
          <t>vendorType filter may apply on specific forms.</t>
        </is>
      </c>
    </row>
    <row r="9" ht="14" customHeight="1">
      <c r="A9" s="48" t="inlineStr">
        <is>
          <t>customers</t>
        </is>
      </c>
      <c r="B9" s="21" t="inlineStr">
        <is>
          <t>frmCustomers, frmInvoices, frmPayments, frmReceipts</t>
        </is>
      </c>
      <c r="C9" s="21" t="inlineStr">
        <is>
          <t>Supabase table</t>
        </is>
      </c>
      <c r="D9" s="21" t="inlineStr">
        <is>
          <t>customers</t>
        </is>
      </c>
      <c r="E9" s="21" t="inlineStr">
        <is>
          <t>WHERE entity_id</t>
        </is>
      </c>
      <c r="F9" s="21" t="inlineStr">
        <is>
          <t>name_en</t>
        </is>
      </c>
      <c r="G9" s="21" t="inlineStr">
        <is>
          <t>id (UUID)</t>
        </is>
      </c>
      <c r="H9" s="21" t="inlineStr"/>
    </row>
    <row r="10" ht="14" customHeight="1">
      <c r="A10" s="48" t="inlineStr">
        <is>
          <t>projects</t>
        </is>
      </c>
      <c r="B10" s="7" t="inlineStr">
        <is>
          <t>frmSiteMaster, frmPO_Admin, frmSiteAssignment, rpt</t>
        </is>
      </c>
      <c r="C10" s="7" t="inlineStr">
        <is>
          <t>Supabase table</t>
        </is>
      </c>
      <c r="D10" s="7" t="inlineStr">
        <is>
          <t>projects</t>
        </is>
      </c>
      <c r="E10" s="7" t="inlineStr">
        <is>
          <t>WHERE entity_id</t>
        </is>
      </c>
      <c r="F10" s="7" t="inlineStr">
        <is>
          <t>proj_name</t>
        </is>
      </c>
      <c r="G10" s="7" t="inlineStr">
        <is>
          <t>id (UUID)</t>
        </is>
      </c>
      <c r="H10" s="7" t="inlineStr"/>
    </row>
    <row r="11" ht="14" customHeight="1">
      <c r="A11" s="48" t="inlineStr">
        <is>
          <t>sites (site_masters)</t>
        </is>
      </c>
      <c r="B11" s="21" t="inlineStr">
        <is>
          <t>frmSiteAssignment, rpt</t>
        </is>
      </c>
      <c r="C11" s="21" t="inlineStr">
        <is>
          <t>Supabase table</t>
        </is>
      </c>
      <c r="D11" s="21" t="inlineStr">
        <is>
          <t>site_masters</t>
        </is>
      </c>
      <c r="E11" s="21" t="inlineStr">
        <is>
          <t>WHERE entity_id</t>
        </is>
      </c>
      <c r="F11" s="21" t="inlineStr">
        <is>
          <t>site_name</t>
        </is>
      </c>
      <c r="G11" s="21" t="inlineStr">
        <is>
          <t>id (UUID)</t>
        </is>
      </c>
      <c r="H11" s="21" t="inlineStr"/>
    </row>
    <row r="12" ht="14" customHeight="1">
      <c r="A12" s="48" t="inlineStr">
        <is>
          <t>chart_of_accounts</t>
        </is>
      </c>
      <c r="B12" s="7" t="inlineStr">
        <is>
          <t>frmJV, frmFixedAssets, frmBudget, frmPettyCash</t>
        </is>
      </c>
      <c r="C12" s="7" t="inlineStr">
        <is>
          <t>Supabase table</t>
        </is>
      </c>
      <c r="D12" s="7" t="inlineStr">
        <is>
          <t>chart_of_accounts</t>
        </is>
      </c>
      <c r="E12" s="7" t="inlineStr">
        <is>
          <t>WHERE entity_id</t>
        </is>
      </c>
      <c r="F12" s="7" t="inlineStr">
        <is>
          <t>account_code + account_name</t>
        </is>
      </c>
      <c r="G12" s="7" t="inlineStr">
        <is>
          <t>account_code</t>
        </is>
      </c>
      <c r="H12" s="7" t="inlineStr">
        <is>
          <t>Type-ahead search on code or name.</t>
        </is>
      </c>
    </row>
    <row r="13" ht="14" customHeight="1">
      <c r="A13" s="48" t="inlineStr">
        <is>
          <t>petty_cash_accounts</t>
        </is>
      </c>
      <c r="B13" s="21" t="inlineStr">
        <is>
          <t>frmPettyCash (entry)</t>
        </is>
      </c>
      <c r="C13" s="21" t="inlineStr">
        <is>
          <t>Supabase table</t>
        </is>
      </c>
      <c r="D13" s="21" t="inlineStr">
        <is>
          <t>petty_cash_accounts</t>
        </is>
      </c>
      <c r="E13" s="21" t="inlineStr">
        <is>
          <t>WHERE entity_id</t>
        </is>
      </c>
      <c r="F13" s="21" t="inlineStr">
        <is>
          <t>account_name</t>
        </is>
      </c>
      <c r="G13" s="21" t="inlineStr">
        <is>
          <t>id (UUID)</t>
        </is>
      </c>
      <c r="H13" s="21" t="inlineStr"/>
    </row>
    <row r="14" ht="14" customHeight="1">
      <c r="A14" s="48" t="inlineStr">
        <is>
          <t>leave_types</t>
        </is>
      </c>
      <c r="B14" s="7" t="inlineStr">
        <is>
          <t>frmVacations</t>
        </is>
      </c>
      <c r="C14" s="7" t="inlineStr">
        <is>
          <t>Hardcoded</t>
        </is>
      </c>
      <c r="D14" s="7" t="inlineStr">
        <is>
          <t>—</t>
        </is>
      </c>
      <c r="E14" s="7" t="inlineStr">
        <is>
          <t>—</t>
        </is>
      </c>
      <c r="F14" s="7" t="inlineStr">
        <is>
          <t>ANNUAL|EMERGENCY|SICK|SICK_MAJOR|UNPAID|HAJJ|MATERNITY</t>
        </is>
      </c>
      <c r="G14" s="7" t="inlineStr">
        <is>
          <t>Same</t>
        </is>
      </c>
      <c r="H14" s="7" t="inlineStr"/>
    </row>
    <row r="15" ht="14" customHeight="1">
      <c r="A15" s="48" t="inlineStr">
        <is>
          <t>app_roles</t>
        </is>
      </c>
      <c r="B15" s="21" t="inlineStr">
        <is>
          <t>frmUserManagement</t>
        </is>
      </c>
      <c r="C15" s="21" t="inlineStr">
        <is>
          <t>Hardcoded</t>
        </is>
      </c>
      <c r="D15" s="21" t="inlineStr">
        <is>
          <t>—</t>
        </is>
      </c>
      <c r="E15" s="21" t="inlineStr">
        <is>
          <t>—</t>
        </is>
      </c>
      <c r="F15" s="21" t="inlineStr">
        <is>
          <t>SUPERADMIN|ADMIN|DEPT_HEAD|PROJECT_MANAGER|TRAVEL_AGENT|FIELD_EMPLOYEE|VIEWER</t>
        </is>
      </c>
      <c r="G15" s="21" t="inlineStr">
        <is>
          <t>Same</t>
        </is>
      </c>
      <c r="H15" s="21" t="inlineStr"/>
    </row>
    <row r="16" ht="14" customHeight="1">
      <c r="A16" s="48" t="inlineStr">
        <is>
          <t>expense_types</t>
        </is>
      </c>
      <c r="B16" s="7" t="inlineStr">
        <is>
          <t>frmExpense (public), frmField_Portal</t>
        </is>
      </c>
      <c r="C16" s="7" t="inlineStr">
        <is>
          <t>Supabase table</t>
        </is>
      </c>
      <c r="D16" s="7" t="inlineStr">
        <is>
          <t>expense_types OR hardcoded</t>
        </is>
      </c>
      <c r="E16" s="7" t="inlineStr">
        <is>
          <t>WHERE entity_id OR hardcoded</t>
        </is>
      </c>
      <c r="F16" s="7" t="inlineStr">
        <is>
          <t>type_name</t>
        </is>
      </c>
      <c r="G16" s="7" t="inlineStr">
        <is>
          <t>id or code</t>
        </is>
      </c>
      <c r="H16" s="7" t="inlineStr">
        <is>
          <t>User mentioned some depts may not need subcontractor option.</t>
        </is>
      </c>
    </row>
    <row r="17" ht="14" customHeight="1">
      <c r="A17" s="48" t="inlineStr">
        <is>
          <t>banks</t>
        </is>
      </c>
      <c r="B17" s="21" t="inlineStr">
        <is>
          <t>frmEmployees (salary bank), frmReceipts, frmCheques</t>
        </is>
      </c>
      <c r="C17" s="21" t="inlineStr">
        <is>
          <t>Hardcoded or lookup</t>
        </is>
      </c>
      <c r="D17" s="21" t="inlineStr">
        <is>
          <t>—</t>
        </is>
      </c>
      <c r="E17" s="21" t="inlineStr">
        <is>
          <t>—</t>
        </is>
      </c>
      <c r="F17" s="21" t="inlineStr">
        <is>
          <t>Bank name (e.g. ANB, NCB)</t>
        </is>
      </c>
      <c r="G17" s="21" t="inlineStr">
        <is>
          <t>bank_code</t>
        </is>
      </c>
      <c r="H17" s="21" t="inlineStr">
        <is>
          <t>SAMA bank codes. Default 1060 = ANB.</t>
        </is>
      </c>
    </row>
    <row r="18" ht="14" customHeight="1">
      <c r="A18" s="48" t="inlineStr">
        <is>
          <t>bank_accounts (company)</t>
        </is>
      </c>
      <c r="B18" s="7" t="inlineStr">
        <is>
          <t>frmReceipts, frmPettyCash</t>
        </is>
      </c>
      <c r="C18" s="7" t="inlineStr">
        <is>
          <t>Hardcoded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ANB-15|ANB-39|ANB-77|etc.</t>
        </is>
      </c>
      <c r="G18" s="7" t="inlineStr">
        <is>
          <t>account_ref</t>
        </is>
      </c>
      <c r="H18" s="7" t="inlineStr">
        <is>
          <t>From settings. ANB-77 and ANB-39 limited to SAR 5,000 cash / 20,000 daily transfer.</t>
        </is>
      </c>
    </row>
    <row r="19" ht="14" customHeight="1">
      <c r="A19" s="48" t="inlineStr">
        <is>
          <t>service_units</t>
        </is>
      </c>
      <c r="B19" s="21" t="inlineStr">
        <is>
          <t>frmSiteMaster, frmLOI</t>
        </is>
      </c>
      <c r="C19" s="21" t="inlineStr">
        <is>
          <t>Hardcoded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NISU|TISU|CISU|ITSU</t>
        </is>
      </c>
      <c r="G19" s="21" t="inlineStr">
        <is>
          <t>Same</t>
        </is>
      </c>
      <c r="H19" s="21" t="inlineStr">
        <is>
          <t>National / Technical / Civil / IT Service Unit.</t>
        </is>
      </c>
    </row>
    <row r="20" ht="14" customHeight="1">
      <c r="A20" s="48" t="inlineStr">
        <is>
          <t>work_types</t>
        </is>
      </c>
      <c r="B20" s="7" t="inlineStr">
        <is>
          <t>frmSiteMaster, frmLOI</t>
        </is>
      </c>
      <c r="C20" s="7" t="inlineStr">
        <is>
          <t>Supabase table or hardcoded</t>
        </is>
      </c>
      <c r="D20" s="7" t="inlineStr">
        <is>
          <t>work_types</t>
        </is>
      </c>
      <c r="E20" s="7" t="inlineStr">
        <is>
          <t>WHERE entity_id</t>
        </is>
      </c>
      <c r="F20" s="7" t="inlineStr">
        <is>
          <t>work_type_name</t>
        </is>
      </c>
      <c r="G20" s="7" t="inlineStr">
        <is>
          <t>id or code</t>
        </is>
      </c>
      <c r="H20" s="7" t="inlineStr"/>
    </row>
    <row r="21" ht="14" customHeight="1">
      <c r="A21" s="48" t="inlineStr">
        <is>
          <t>vendor_types</t>
        </is>
      </c>
      <c r="B21" s="21" t="inlineStr">
        <is>
          <t>frmContractors</t>
        </is>
      </c>
      <c r="C21" s="21" t="inlineStr">
        <is>
          <t>Hardcoded</t>
        </is>
      </c>
      <c r="D21" s="21" t="inlineStr">
        <is>
          <t>—</t>
        </is>
      </c>
      <c r="E21" s="21" t="inlineStr">
        <is>
          <t>—</t>
        </is>
      </c>
      <c r="F21" s="21" t="inlineStr">
        <is>
          <t>CONTRACTOR|VENDOR|SUPPLIER|SUB_CONTRACTOR|LOCAL_SUPPLIER</t>
        </is>
      </c>
      <c r="G21" s="21" t="inlineStr">
        <is>
          <t>Same</t>
        </is>
      </c>
      <c r="H21" s="21" t="inlineStr"/>
    </row>
    <row r="22" ht="14" customHeight="1">
      <c r="A22" s="48" t="inlineStr">
        <is>
          <t>project_statuses</t>
        </is>
      </c>
      <c r="B22" s="7" t="inlineStr">
        <is>
          <t>frmProjects</t>
        </is>
      </c>
      <c r="C22" s="7" t="inlineStr">
        <is>
          <t>Hardcoded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OPEN|ACTIVE|ON_HOLD|COMPLETED|CANCELLED|ROLLOVER</t>
        </is>
      </c>
      <c r="G22" s="7" t="inlineStr">
        <is>
          <t>Same</t>
        </is>
      </c>
      <c r="H22" s="7" t="inlineStr"/>
    </row>
    <row r="23" ht="14" customHeight="1">
      <c r="A23" s="48" t="inlineStr">
        <is>
          <t>vehicle_types</t>
        </is>
      </c>
      <c r="B23" s="21" t="inlineStr">
        <is>
          <t>frmVehicles</t>
        </is>
      </c>
      <c r="C23" s="21" t="inlineStr">
        <is>
          <t>Hardcoded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SUV|SEDAN|PICKUP|VAN|TRUCK|BUS|HEAVY_EQUIPMENT|OTHER</t>
        </is>
      </c>
      <c r="G23" s="21" t="inlineStr">
        <is>
          <t>Same</t>
        </is>
      </c>
      <c r="H23" s="21" t="inlineStr"/>
    </row>
    <row r="24" ht="14" customHeight="1">
      <c r="A24" s="48" t="inlineStr">
        <is>
          <t>fuel_types</t>
        </is>
      </c>
      <c r="B24" s="7" t="inlineStr">
        <is>
          <t>frmVehicles</t>
        </is>
      </c>
      <c r="C24" s="7" t="inlineStr">
        <is>
          <t>Hardcoded</t>
        </is>
      </c>
      <c r="D24" s="7" t="inlineStr">
        <is>
          <t>—</t>
        </is>
      </c>
      <c r="E24" s="7" t="inlineStr">
        <is>
          <t>—</t>
        </is>
      </c>
      <c r="F24" s="7" t="inlineStr">
        <is>
          <t>PETROL|DIESEL|ELECTRIC|HYBRID</t>
        </is>
      </c>
      <c r="G24" s="7" t="inlineStr">
        <is>
          <t>Same</t>
        </is>
      </c>
      <c r="H24" s="7" t="inlineStr"/>
    </row>
    <row r="25" ht="14" customHeight="1">
      <c r="A25" s="48" t="inlineStr">
        <is>
          <t>maintenance_types</t>
        </is>
      </c>
      <c r="B25" s="21" t="inlineStr">
        <is>
          <t>frmVehicles (maintenance)</t>
        </is>
      </c>
      <c r="C25" s="21" t="inlineStr">
        <is>
          <t>Hardcoded</t>
        </is>
      </c>
      <c r="D25" s="21" t="inlineStr">
        <is>
          <t>—</t>
        </is>
      </c>
      <c r="E25" s="21" t="inlineStr">
        <is>
          <t>—</t>
        </is>
      </c>
      <c r="F25" s="21" t="inlineStr">
        <is>
          <t>OIL_CHANGE|TIRE_CHANGE|BRAKE_SERVICE|ENGINE_REPAIR|AC_SERVICE|BODY_REPAIR|INSPECTION|OTHER</t>
        </is>
      </c>
      <c r="G25" s="21" t="inlineStr">
        <is>
          <t>Same</t>
        </is>
      </c>
      <c r="H25" s="21" t="inlineStr"/>
    </row>
    <row r="26" ht="14" customHeight="1">
      <c r="A26" s="48" t="inlineStr">
        <is>
          <t>asset_categories</t>
        </is>
      </c>
      <c r="B26" s="7" t="inlineStr">
        <is>
          <t>frmFixedAssets</t>
        </is>
      </c>
      <c r="C26" s="7" t="inlineStr">
        <is>
          <t>Hardcoded</t>
        </is>
      </c>
      <c r="D26" s="7" t="inlineStr">
        <is>
          <t>—</t>
        </is>
      </c>
      <c r="E26" s="7" t="inlineStr">
        <is>
          <t>—</t>
        </is>
      </c>
      <c r="F26" s="7" t="inlineStr">
        <is>
          <t>EQUIPMENT|VEHICLE|FURNITURE|IT_HARDWARE|BUILDING|OTHER</t>
        </is>
      </c>
      <c r="G26" s="7" t="inlineStr">
        <is>
          <t>Same</t>
        </is>
      </c>
      <c r="H26" s="7" t="inlineStr"/>
    </row>
    <row r="27" ht="14" customHeight="1">
      <c r="A27" s="48" t="inlineStr">
        <is>
          <t>cheque_statuses</t>
        </is>
      </c>
      <c r="B27" s="21" t="inlineStr">
        <is>
          <t>frmCheques</t>
        </is>
      </c>
      <c r="C27" s="21" t="inlineStr">
        <is>
          <t>Hardcoded</t>
        </is>
      </c>
      <c r="D27" s="21" t="inlineStr">
        <is>
          <t>—</t>
        </is>
      </c>
      <c r="E27" s="21" t="inlineStr">
        <is>
          <t>—</t>
        </is>
      </c>
      <c r="F27" s="21" t="inlineStr">
        <is>
          <t>PENDING|PRESENTED|CLEARED|BOUNCED|CANCELLED|REPLACED</t>
        </is>
      </c>
      <c r="G27" s="21" t="inlineStr">
        <is>
          <t>Same</t>
        </is>
      </c>
      <c r="H27" s="21" t="inlineStr"/>
    </row>
    <row r="28" ht="14" customHeight="1">
      <c r="A28" s="48" t="inlineStr">
        <is>
          <t>loi_statuses</t>
        </is>
      </c>
      <c r="B28" s="7" t="inlineStr">
        <is>
          <t>frmLOI</t>
        </is>
      </c>
      <c r="C28" s="7" t="inlineStr">
        <is>
          <t>Hardcoded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RECEIVED|RESPONDED|CONVERTED|REJECTED|EXPIRED</t>
        </is>
      </c>
      <c r="G28" s="7" t="inlineStr">
        <is>
          <t>Same</t>
        </is>
      </c>
      <c r="H28" s="7" t="inlineStr"/>
    </row>
    <row r="29" ht="14" customHeight="1">
      <c r="A29" s="48" t="inlineStr">
        <is>
          <t>action_types (staff)</t>
        </is>
      </c>
      <c r="B29" s="21" t="inlineStr">
        <is>
          <t>frmStaffActions</t>
        </is>
      </c>
      <c r="C29" s="21" t="inlineStr">
        <is>
          <t>Hardcoded</t>
        </is>
      </c>
      <c r="D29" s="21" t="inlineStr">
        <is>
          <t>—</t>
        </is>
      </c>
      <c r="E29" s="21" t="inlineStr">
        <is>
          <t>—</t>
        </is>
      </c>
      <c r="F29" s="21" t="inlineStr">
        <is>
          <t>RELEASE|TRANSFER|CONTRACT_RENEWAL|PROMOTION|DEMOTION|WARNING|TERMINATION</t>
        </is>
      </c>
      <c r="G29" s="21" t="inlineStr">
        <is>
          <t>Same</t>
        </is>
      </c>
      <c r="H29" s="21" t="inlineStr"/>
    </row>
    <row r="30" ht="14" customHeight="1">
      <c r="A30" s="48" t="inlineStr">
        <is>
          <t>payment_methods</t>
        </is>
      </c>
      <c r="B30" s="7" t="inlineStr">
        <is>
          <t>frmPayments, frmReceipts, frmCheques</t>
        </is>
      </c>
      <c r="C30" s="7" t="inlineStr">
        <is>
          <t>Hardcoded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BANK_TRANSFER|CHEQUE|CASH|CREDIT_CARD|PETTY_CASH</t>
        </is>
      </c>
      <c r="G30" s="7" t="inlineStr">
        <is>
          <t>Same</t>
        </is>
      </c>
      <c r="H30" s="7" t="inlineStr"/>
    </row>
    <row r="31" ht="14" customHeight="1">
      <c r="A31" s="48" t="inlineStr">
        <is>
          <t>invoice_types</t>
        </is>
      </c>
      <c r="B31" s="21" t="inlineStr">
        <is>
          <t>frmInvoices</t>
        </is>
      </c>
      <c r="C31" s="21" t="inlineStr">
        <is>
          <t>Hardcoded</t>
        </is>
      </c>
      <c r="D31" s="21" t="inlineStr">
        <is>
          <t>—</t>
        </is>
      </c>
      <c r="E31" s="21" t="inlineStr">
        <is>
          <t>—</t>
        </is>
      </c>
      <c r="F31" s="21" t="inlineStr">
        <is>
          <t>TAX|PROFORMA|CREDIT_NOTE</t>
        </is>
      </c>
      <c r="G31" s="21" t="inlineStr">
        <is>
          <t>Same</t>
        </is>
      </c>
      <c r="H31" s="21" t="inlineStr"/>
    </row>
    <row r="32" ht="14" customHeight="1">
      <c r="A32" s="48" t="inlineStr">
        <is>
          <t>scope_types (assignment)</t>
        </is>
      </c>
      <c r="B32" s="7" t="inlineStr">
        <is>
          <t>frmSiteAssignment</t>
        </is>
      </c>
      <c r="C32" s="7" t="inlineStr">
        <is>
          <t>Hardcoded</t>
        </is>
      </c>
      <c r="D32" s="7" t="inlineStr">
        <is>
          <t>—</t>
        </is>
      </c>
      <c r="E32" s="7" t="inlineStr">
        <is>
          <t>—</t>
        </is>
      </c>
      <c r="F32" s="7" t="inlineStr">
        <is>
          <t>GENERAL|SPECIFIC_TASK|MAINTENANCE|SURVEY|SUPERVISION</t>
        </is>
      </c>
      <c r="G32" s="7" t="inlineStr">
        <is>
          <t>Same</t>
        </is>
      </c>
      <c r="H32" s="7" t="inlineStr"/>
    </row>
    <row r="33" ht="14" customHeight="1">
      <c r="A33" s="48" t="inlineStr">
        <is>
          <t>notice_periods</t>
        </is>
      </c>
      <c r="B33" s="21" t="inlineStr">
        <is>
          <t>frmStaffActions</t>
        </is>
      </c>
      <c r="C33" s="21" t="inlineStr">
        <is>
          <t>Hardcoded</t>
        </is>
      </c>
      <c r="D33" s="21" t="inlineStr">
        <is>
          <t>—</t>
        </is>
      </c>
      <c r="E33" s="21" t="inlineStr">
        <is>
          <t>—</t>
        </is>
      </c>
      <c r="F33" s="21" t="inlineStr">
        <is>
          <t>IMMEDIATE|1_MONTH|2_MONTHS|3_MONTHS</t>
        </is>
      </c>
      <c r="G33" s="21" t="inlineStr">
        <is>
          <t>Same</t>
        </is>
      </c>
      <c r="H33" s="21" t="inlineStr"/>
    </row>
    <row r="34" ht="14" customHeight="1">
      <c r="A34" s="48" t="inlineStr">
        <is>
          <t>depreciation_methods</t>
        </is>
      </c>
      <c r="B34" s="7" t="inlineStr">
        <is>
          <t>frmFixedAssets</t>
        </is>
      </c>
      <c r="C34" s="7" t="inlineStr">
        <is>
          <t>Hardcoded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STRAIGHT_LINE|DECLINING_BALANCE</t>
        </is>
      </c>
      <c r="G34" s="7" t="inlineStr">
        <is>
          <t>Same</t>
        </is>
      </c>
      <c r="H34" s="7" t="inlineStr"/>
    </row>
    <row r="35" ht="14" customHeight="1">
      <c r="A35" s="48" t="inlineStr">
        <is>
          <t>eos_reasons</t>
        </is>
      </c>
      <c r="B35" s="21" t="inlineStr">
        <is>
          <t>frmLoans (EOS tab)</t>
        </is>
      </c>
      <c r="C35" s="21" t="inlineStr">
        <is>
          <t>Hardcoded</t>
        </is>
      </c>
      <c r="D35" s="21" t="inlineStr">
        <is>
          <t>—</t>
        </is>
      </c>
      <c r="E35" s="21" t="inlineStr">
        <is>
          <t>—</t>
        </is>
      </c>
      <c r="F35" s="21" t="inlineStr">
        <is>
          <t>RESIGNATION|TERMINATION|CONTRACT_END|RETIREMENT|DEATH|REDUNDANCY</t>
        </is>
      </c>
      <c r="G35" s="21" t="inlineStr">
        <is>
          <t>Same</t>
        </is>
      </c>
      <c r="H35" s="21" t="inlineStr">
        <is>
          <t>Saudi Labour Law art. 84.</t>
        </is>
      </c>
    </row>
    <row r="36" ht="14" customHeight="1">
      <c r="A36" s="48" t="inlineStr">
        <is>
          <t>penalty_types</t>
        </is>
      </c>
      <c r="B36" s="7" t="inlineStr">
        <is>
          <t>frmLoans (Penalty tab)</t>
        </is>
      </c>
      <c r="C36" s="7" t="inlineStr">
        <is>
          <t>Hardcoded</t>
        </is>
      </c>
      <c r="D36" s="7" t="inlineStr">
        <is>
          <t>—</t>
        </is>
      </c>
      <c r="E36" s="7" t="inlineStr">
        <is>
          <t>—</t>
        </is>
      </c>
      <c r="F36" s="7" t="inlineStr">
        <is>
          <t>EMPLOYEE_BORNE|COMPANY_BORNE</t>
        </is>
      </c>
      <c r="G36" s="7" t="inlineStr">
        <is>
          <t>Same</t>
        </is>
      </c>
      <c r="H36" s="7" t="inlineStr"/>
    </row>
    <row r="37" ht="14" customHeight="1">
      <c r="A37" s="48" t="inlineStr">
        <is>
          <t>voucher_types</t>
        </is>
      </c>
      <c r="B37" s="21" t="inlineStr">
        <is>
          <t>frmJournalVoucher</t>
        </is>
      </c>
      <c r="C37" s="21" t="inlineStr">
        <is>
          <t>Hardcoded</t>
        </is>
      </c>
      <c r="D37" s="21" t="inlineStr">
        <is>
          <t>—</t>
        </is>
      </c>
      <c r="E37" s="21" t="inlineStr">
        <is>
          <t>—</t>
        </is>
      </c>
      <c r="F37" s="21" t="inlineStr">
        <is>
          <t>JV|PV|RV|BPV|BRV</t>
        </is>
      </c>
      <c r="G37" s="21" t="inlineStr">
        <is>
          <t>Same</t>
        </is>
      </c>
      <c r="H37" s="2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4" customWidth="1" min="4" max="4"/>
    <col width="12" customWidth="1" min="5" max="5"/>
    <col width="30" customWidth="1" min="6" max="6"/>
    <col width="38" customWidth="1" min="7" max="7"/>
  </cols>
  <sheetData>
    <row r="1" ht="26" customHeight="1">
      <c r="A1" s="49" t="inlineStr">
        <is>
          <t>DB_Tables  —  Supabase PostgreSQL Database Table Reference</t>
        </is>
      </c>
    </row>
    <row r="2">
      <c r="A2" s="17" t="inlineStr">
        <is>
          <t>Each form sheet shows the DB column in column 11. This sheet cross-references all tables.</t>
        </is>
      </c>
    </row>
    <row r="3" ht="28" customHeight="1">
      <c r="A3" s="50" t="inlineStr">
        <is>
          <t>Table Name</t>
        </is>
      </c>
      <c r="B3" s="50" t="inlineStr">
        <is>
          <t>Module Group</t>
        </is>
      </c>
      <c r="C3" s="50" t="inlineStr">
        <is>
          <t>Primary Key</t>
        </is>
      </c>
      <c r="D3" s="50" t="inlineStr">
        <is>
          <t>Entity Scope</t>
        </is>
      </c>
      <c r="E3" s="50" t="inlineStr">
        <is>
          <t>RLS Enabled</t>
        </is>
      </c>
      <c r="F3" s="50" t="inlineStr">
        <is>
          <t>Key Foreign Keys</t>
        </is>
      </c>
      <c r="G3" s="50" t="inlineStr">
        <is>
          <t>Notes</t>
        </is>
      </c>
    </row>
    <row r="4" ht="14" customHeight="1">
      <c r="A4" s="51" t="inlineStr">
        <is>
          <t>profiles</t>
        </is>
      </c>
      <c r="B4" s="7" t="inlineStr">
        <is>
          <t>Admin</t>
        </is>
      </c>
      <c r="C4" s="7" t="inlineStr">
        <is>
          <t>id (UUID = auth.users.id)</t>
        </is>
      </c>
      <c r="D4" s="7" t="inlineStr">
        <is>
          <t>entity_code</t>
        </is>
      </c>
      <c r="E4" s="7" t="inlineStr">
        <is>
          <t>Y</t>
        </is>
      </c>
      <c r="F4" s="7" t="inlineStr">
        <is>
          <t>—</t>
        </is>
      </c>
      <c r="G4" s="7" t="inlineStr">
        <is>
          <t>1 row per user. role, entity_code, is_active, department.</t>
        </is>
      </c>
    </row>
    <row r="5" ht="14" customHeight="1">
      <c r="A5" s="51" t="inlineStr">
        <is>
          <t>departments</t>
        </is>
      </c>
      <c r="B5" s="21" t="inlineStr">
        <is>
          <t>Masters</t>
        </is>
      </c>
      <c r="C5" s="21" t="inlineStr">
        <is>
          <t>id (UUID)</t>
        </is>
      </c>
      <c r="D5" s="21" t="inlineStr">
        <is>
          <t>entity_id</t>
        </is>
      </c>
      <c r="E5" s="21" t="inlineStr">
        <is>
          <t>Y</t>
        </is>
      </c>
      <c r="F5" s="21" t="inlineStr">
        <is>
          <t>—</t>
        </is>
      </c>
      <c r="G5" s="21" t="inlineStr">
        <is>
          <t>dept_code must be unique per entity.</t>
        </is>
      </c>
    </row>
    <row r="6" ht="14" customHeight="1">
      <c r="A6" s="51" t="inlineStr">
        <is>
          <t>employees</t>
        </is>
      </c>
      <c r="B6" s="7" t="inlineStr">
        <is>
          <t>HR / Masters</t>
        </is>
      </c>
      <c r="C6" s="7" t="inlineStr">
        <is>
          <t>id (UUID)</t>
        </is>
      </c>
      <c r="D6" s="7" t="inlineStr">
        <is>
          <t>entity_id</t>
        </is>
      </c>
      <c r="E6" s="7" t="inlineStr">
        <is>
          <t>Y</t>
        </is>
      </c>
      <c r="F6" s="7" t="inlineStr">
        <is>
          <t>dept_id → departments</t>
        </is>
      </c>
      <c r="G6" s="7" t="inlineStr">
        <is>
          <t>is_active flag. Dependents in employee_dependents table.</t>
        </is>
      </c>
    </row>
    <row r="7" ht="14" customHeight="1">
      <c r="A7" s="51" t="inlineStr">
        <is>
          <t>employee_dependents</t>
        </is>
      </c>
      <c r="B7" s="21" t="inlineStr">
        <is>
          <t>HR</t>
        </is>
      </c>
      <c r="C7" s="21" t="inlineStr">
        <is>
          <t>id (UUID)</t>
        </is>
      </c>
      <c r="D7" s="21" t="inlineStr">
        <is>
          <t>via employee_id</t>
        </is>
      </c>
      <c r="E7" s="21" t="inlineStr">
        <is>
          <t>Y</t>
        </is>
      </c>
      <c r="F7" s="21" t="inlineStr">
        <is>
          <t>employee_id → employees</t>
        </is>
      </c>
      <c r="G7" s="21" t="inlineStr">
        <is>
          <t>full_name, gender, relation, dob, iqama, passport.</t>
        </is>
      </c>
    </row>
    <row r="8" ht="14" customHeight="1">
      <c r="A8" s="51" t="inlineStr">
        <is>
          <t>contractors</t>
        </is>
      </c>
      <c r="B8" s="7" t="inlineStr">
        <is>
          <t>Masters</t>
        </is>
      </c>
      <c r="C8" s="7" t="inlineStr">
        <is>
          <t>id (UUID)</t>
        </is>
      </c>
      <c r="D8" s="7" t="inlineStr">
        <is>
          <t>entity_id</t>
        </is>
      </c>
      <c r="E8" s="7" t="inlineStr">
        <is>
          <t>Y</t>
        </is>
      </c>
      <c r="F8" s="7" t="inlineStr">
        <is>
          <t>—</t>
        </is>
      </c>
      <c r="G8" s="7" t="inlineStr">
        <is>
          <t>vendorType. Bank accounts in contractor_bank_accounts.</t>
        </is>
      </c>
    </row>
    <row r="9" ht="14" customHeight="1">
      <c r="A9" s="51" t="inlineStr">
        <is>
          <t>contractor_bank_accounts</t>
        </is>
      </c>
      <c r="B9" s="21" t="inlineStr">
        <is>
          <t>Masters</t>
        </is>
      </c>
      <c r="C9" s="21" t="inlineStr">
        <is>
          <t>id (UUID)</t>
        </is>
      </c>
      <c r="D9" s="21" t="inlineStr">
        <is>
          <t>via contractor_id</t>
        </is>
      </c>
      <c r="E9" s="21" t="inlineStr">
        <is>
          <t>Y</t>
        </is>
      </c>
      <c r="F9" s="21" t="inlineStr">
        <is>
          <t>contractor_id → contractors</t>
        </is>
      </c>
      <c r="G9" s="21" t="inlineStr">
        <is>
          <t>iban, bank_name, is_primary.</t>
        </is>
      </c>
    </row>
    <row r="10" ht="14" customHeight="1">
      <c r="A10" s="51" t="inlineStr">
        <is>
          <t>customers</t>
        </is>
      </c>
      <c r="B10" s="7" t="inlineStr">
        <is>
          <t>Masters</t>
        </is>
      </c>
      <c r="C10" s="7" t="inlineStr">
        <is>
          <t>id (UUID)</t>
        </is>
      </c>
      <c r="D10" s="7" t="inlineStr">
        <is>
          <t>entity_id</t>
        </is>
      </c>
      <c r="E10" s="7" t="inlineStr">
        <is>
          <t>Y</t>
        </is>
      </c>
      <c r="F10" s="7" t="inlineStr">
        <is>
          <t>—</t>
        </is>
      </c>
      <c r="G10" s="7" t="inlineStr">
        <is>
          <t>accountNo, paymentType, creditLimit.</t>
        </is>
      </c>
    </row>
    <row r="11" ht="14" customHeight="1">
      <c r="A11" s="51" t="inlineStr">
        <is>
          <t>projects</t>
        </is>
      </c>
      <c r="B11" s="21" t="inlineStr">
        <is>
          <t>Operations</t>
        </is>
      </c>
      <c r="C11" s="21" t="inlineStr">
        <is>
          <t>id (UUID)</t>
        </is>
      </c>
      <c r="D11" s="21" t="inlineStr">
        <is>
          <t>entity_id</t>
        </is>
      </c>
      <c r="E11" s="21" t="inlineStr">
        <is>
          <t>Y</t>
        </is>
      </c>
      <c r="F11" s="21" t="inlineStr">
        <is>
          <t>contractor_id, dept_id</t>
        </is>
      </c>
      <c r="G11" s="21" t="inlineStr">
        <is>
          <t>projNum unique per entity.</t>
        </is>
      </c>
    </row>
    <row r="12" ht="14" customHeight="1">
      <c r="A12" s="51" t="inlineStr">
        <is>
          <t>site_masters</t>
        </is>
      </c>
      <c r="B12" s="7" t="inlineStr">
        <is>
          <t>Operations</t>
        </is>
      </c>
      <c r="C12" s="7" t="inlineStr">
        <is>
          <t>id (UUID)</t>
        </is>
      </c>
      <c r="D12" s="7" t="inlineStr">
        <is>
          <t>entity_id</t>
        </is>
      </c>
      <c r="E12" s="7" t="inlineStr">
        <is>
          <t>Y</t>
        </is>
      </c>
      <c r="F12" s="7" t="inlineStr">
        <is>
          <t>project_id, dept_id, contractor_id</t>
        </is>
      </c>
      <c r="G12" s="7" t="inlineStr">
        <is>
          <t>service_unit, work_type, status. Milestones in site_milestones.</t>
        </is>
      </c>
    </row>
    <row r="13" ht="14" customHeight="1">
      <c r="A13" s="51" t="inlineStr">
        <is>
          <t>site_milestones</t>
        </is>
      </c>
      <c r="B13" s="21" t="inlineStr">
        <is>
          <t>Operations</t>
        </is>
      </c>
      <c r="C13" s="21" t="inlineStr">
        <is>
          <t>id (UUID)</t>
        </is>
      </c>
      <c r="D13" s="21" t="inlineStr">
        <is>
          <t>via site_id</t>
        </is>
      </c>
      <c r="E13" s="21" t="inlineStr">
        <is>
          <t>Y</t>
        </is>
      </c>
      <c r="F13" s="21" t="inlineStr">
        <is>
          <t>site_id → site_masters</t>
        </is>
      </c>
      <c r="G13" s="21" t="inlineStr">
        <is>
          <t>milestone_name, target_date, completion_date, status.</t>
        </is>
      </c>
    </row>
    <row r="14" ht="14" customHeight="1">
      <c r="A14" s="51" t="inlineStr">
        <is>
          <t>site_assignments</t>
        </is>
      </c>
      <c r="B14" s="7" t="inlineStr">
        <is>
          <t>Operations</t>
        </is>
      </c>
      <c r="C14" s="7" t="inlineStr">
        <is>
          <t>id (UUID)</t>
        </is>
      </c>
      <c r="D14" s="7" t="inlineStr">
        <is>
          <t>entity_id</t>
        </is>
      </c>
      <c r="E14" s="7" t="inlineStr">
        <is>
          <t>Y</t>
        </is>
      </c>
      <c r="F14" s="7" t="inlineStr">
        <is>
          <t>employee_id/contractor_id, site_id</t>
        </is>
      </c>
      <c r="G14" s="7" t="inlineStr">
        <is>
          <t>assigneeType, scopeType, is_remote.</t>
        </is>
      </c>
    </row>
    <row r="15" ht="14" customHeight="1">
      <c r="A15" s="51" t="inlineStr">
        <is>
          <t>vehicles</t>
        </is>
      </c>
      <c r="B15" s="21" t="inlineStr">
        <is>
          <t>Operations</t>
        </is>
      </c>
      <c r="C15" s="21" t="inlineStr">
        <is>
          <t>id (UUID)</t>
        </is>
      </c>
      <c r="D15" s="21" t="inlineStr">
        <is>
          <t>entity_id</t>
        </is>
      </c>
      <c r="E15" s="21" t="inlineStr">
        <is>
          <t>Y</t>
        </is>
      </c>
      <c r="F15" s="21" t="inlineStr">
        <is>
          <t>assigned_department → departments</t>
        </is>
      </c>
      <c r="G15" s="21" t="inlineStr">
        <is>
          <t>plate_number unique. Maintenance in vehicle_maintenance.</t>
        </is>
      </c>
    </row>
    <row r="16" ht="14" customHeight="1">
      <c r="A16" s="51" t="inlineStr">
        <is>
          <t>vehicle_maintenance</t>
        </is>
      </c>
      <c r="B16" s="7" t="inlineStr">
        <is>
          <t>Operations</t>
        </is>
      </c>
      <c r="C16" s="7" t="inlineStr">
        <is>
          <t>id (UUID)</t>
        </is>
      </c>
      <c r="D16" s="7" t="inlineStr">
        <is>
          <t>via vehicle_id</t>
        </is>
      </c>
      <c r="E16" s="7" t="inlineStr">
        <is>
          <t>Y</t>
        </is>
      </c>
      <c r="F16" s="7" t="inlineStr">
        <is>
          <t>vehicle_id → vehicles</t>
        </is>
      </c>
      <c r="G16" s="7" t="inlineStr">
        <is>
          <t>maintenance_type, cost, odometer_at_service.</t>
        </is>
      </c>
    </row>
    <row r="17" ht="14" customHeight="1">
      <c r="A17" s="51" t="inlineStr">
        <is>
          <t>lois</t>
        </is>
      </c>
      <c r="B17" s="21" t="inlineStr">
        <is>
          <t>Operations</t>
        </is>
      </c>
      <c r="C17" s="21" t="inlineStr">
        <is>
          <t>id (UUID)</t>
        </is>
      </c>
      <c r="D17" s="21" t="inlineStr">
        <is>
          <t>entity_id</t>
        </is>
      </c>
      <c r="E17" s="21" t="inlineStr">
        <is>
          <t>Y</t>
        </is>
      </c>
      <c r="F17" s="21" t="inlineStr">
        <is>
          <t>contractor_id, customer_id</t>
        </is>
      </c>
      <c r="G17" s="21" t="inlineStr">
        <is>
          <t>loi_number, status, response_deadline.</t>
        </is>
      </c>
    </row>
    <row r="18" ht="14" customHeight="1">
      <c r="A18" s="51" t="inlineStr">
        <is>
          <t>purchase_orders</t>
        </is>
      </c>
      <c r="B18" s="7" t="inlineStr">
        <is>
          <t>Operations</t>
        </is>
      </c>
      <c r="C18" s="7" t="inlineStr">
        <is>
          <t>id (UUID)</t>
        </is>
      </c>
      <c r="D18" s="7" t="inlineStr">
        <is>
          <t>entity_id</t>
        </is>
      </c>
      <c r="E18" s="7" t="inlineStr">
        <is>
          <t>Y</t>
        </is>
      </c>
      <c r="F18" s="7" t="inlineStr">
        <is>
          <t>contractor_id, dept_id, loi_id</t>
        </is>
      </c>
      <c r="G18" s="7" t="inlineStr">
        <is>
          <t>PO lines in po_lines. conPONo = client's PO ref.</t>
        </is>
      </c>
    </row>
    <row r="19" ht="14" customHeight="1">
      <c r="A19" s="51" t="inlineStr">
        <is>
          <t>po_lines</t>
        </is>
      </c>
      <c r="B19" s="21" t="inlineStr">
        <is>
          <t>Operations</t>
        </is>
      </c>
      <c r="C19" s="21" t="inlineStr">
        <is>
          <t>id (UUID)</t>
        </is>
      </c>
      <c r="D19" s="21" t="inlineStr">
        <is>
          <t>via po_id</t>
        </is>
      </c>
      <c r="E19" s="21" t="inlineStr">
        <is>
          <t>Y</t>
        </is>
      </c>
      <c r="F19" s="21" t="inlineStr">
        <is>
          <t>po_id → purchase_orders</t>
        </is>
      </c>
      <c r="G19" s="21" t="inlineStr">
        <is>
          <t>job_type, quantity, unit_price.</t>
        </is>
      </c>
    </row>
    <row r="20" ht="14" customHeight="1">
      <c r="A20" s="51" t="inlineStr">
        <is>
          <t>money_requests</t>
        </is>
      </c>
      <c r="B20" s="7" t="inlineStr">
        <is>
          <t>Public Forms</t>
        </is>
      </c>
      <c r="C20" s="7" t="inlineStr">
        <is>
          <t>id (UUID)</t>
        </is>
      </c>
      <c r="D20" s="7" t="inlineStr">
        <is>
          <t>entity_id</t>
        </is>
      </c>
      <c r="E20" s="7" t="inlineStr">
        <is>
          <t>Y</t>
        </is>
      </c>
      <c r="F20" s="7" t="inlineStr">
        <is>
          <t>dept_id, employee_id</t>
        </is>
      </c>
      <c r="G20" s="7" t="inlineStr">
        <is>
          <t>request_type: PETTY_CASH/BANK_TRANSFER/PREPAYMENT/REIMBURSEMENT.</t>
        </is>
      </c>
    </row>
    <row r="21" ht="14" customHeight="1">
      <c r="A21" s="51" t="inlineStr">
        <is>
          <t>expense_submissions</t>
        </is>
      </c>
      <c r="B21" s="21" t="inlineStr">
        <is>
          <t>Public Forms</t>
        </is>
      </c>
      <c r="C21" s="21" t="inlineStr">
        <is>
          <t>id (UUID)</t>
        </is>
      </c>
      <c r="D21" s="21" t="inlineStr">
        <is>
          <t>entity_id</t>
        </is>
      </c>
      <c r="E21" s="21" t="inlineStr">
        <is>
          <t>Y</t>
        </is>
      </c>
      <c r="F21" s="21" t="inlineStr">
        <is>
          <t>employee_id</t>
        </is>
      </c>
      <c r="G21" s="21" t="inlineStr">
        <is>
          <t>VAT no, amount, expense_type, photo_url.</t>
        </is>
      </c>
    </row>
    <row r="22" ht="14" customHeight="1">
      <c r="A22" s="51" t="inlineStr">
        <is>
          <t>food_allowances</t>
        </is>
      </c>
      <c r="B22" s="7" t="inlineStr">
        <is>
          <t>Public Forms</t>
        </is>
      </c>
      <c r="C22" s="7" t="inlineStr">
        <is>
          <t>id (UUID)</t>
        </is>
      </c>
      <c r="D22" s="7" t="inlineStr">
        <is>
          <t>entity_id</t>
        </is>
      </c>
      <c r="E22" s="7" t="inlineStr">
        <is>
          <t>Y</t>
        </is>
      </c>
      <c r="F22" s="7" t="inlineStr">
        <is>
          <t>employee_id</t>
        </is>
      </c>
      <c r="G22" s="7" t="inlineStr">
        <is>
          <t>meal_type, date.</t>
        </is>
      </c>
    </row>
    <row r="23" ht="14" customHeight="1">
      <c r="A23" s="51" t="inlineStr">
        <is>
          <t>overtime_requests</t>
        </is>
      </c>
      <c r="B23" s="21" t="inlineStr">
        <is>
          <t>Public Forms</t>
        </is>
      </c>
      <c r="C23" s="21" t="inlineStr">
        <is>
          <t>id (UUID)</t>
        </is>
      </c>
      <c r="D23" s="21" t="inlineStr">
        <is>
          <t>entity_id</t>
        </is>
      </c>
      <c r="E23" s="21" t="inlineStr">
        <is>
          <t>Y</t>
        </is>
      </c>
      <c r="F23" s="21" t="inlineStr">
        <is>
          <t>employee_id</t>
        </is>
      </c>
      <c r="G23" s="21" t="inlineStr">
        <is>
          <t>ot_date, ot_hours.</t>
        </is>
      </c>
    </row>
    <row r="24" ht="14" customHeight="1">
      <c r="A24" s="51" t="inlineStr">
        <is>
          <t>payroll_runs</t>
        </is>
      </c>
      <c r="B24" s="7" t="inlineStr">
        <is>
          <t>HR</t>
        </is>
      </c>
      <c r="C24" s="7" t="inlineStr">
        <is>
          <t>id (UUID)</t>
        </is>
      </c>
      <c r="D24" s="7" t="inlineStr">
        <is>
          <t>entity_id</t>
        </is>
      </c>
      <c r="E24" s="7" t="inlineStr">
        <is>
          <t>Y</t>
        </is>
      </c>
      <c r="F24" s="7" t="inlineStr">
        <is>
          <t>—</t>
        </is>
      </c>
      <c r="G24" s="7" t="inlineStr">
        <is>
          <t>run_month (YYYY-MM), run_by, status (PENDING/COMPLETED).</t>
        </is>
      </c>
    </row>
    <row r="25" ht="14" customHeight="1">
      <c r="A25" s="51" t="inlineStr">
        <is>
          <t>payroll_entries</t>
        </is>
      </c>
      <c r="B25" s="21" t="inlineStr">
        <is>
          <t>HR</t>
        </is>
      </c>
      <c r="C25" s="21" t="inlineStr">
        <is>
          <t>id (UUID)</t>
        </is>
      </c>
      <c r="D25" s="21" t="inlineStr">
        <is>
          <t>via run_id</t>
        </is>
      </c>
      <c r="E25" s="21" t="inlineStr">
        <is>
          <t>Y</t>
        </is>
      </c>
      <c r="F25" s="21" t="inlineStr">
        <is>
          <t>run_id → payroll_runs, employee_id → employees</t>
        </is>
      </c>
      <c r="G25" s="21" t="inlineStr">
        <is>
          <t>gross, deductions, net per employee per run.</t>
        </is>
      </c>
    </row>
    <row r="26" ht="14" customHeight="1">
      <c r="A26" s="51" t="inlineStr">
        <is>
          <t>employee_loans</t>
        </is>
      </c>
      <c r="B26" s="7" t="inlineStr">
        <is>
          <t>HR</t>
        </is>
      </c>
      <c r="C26" s="7" t="inlineStr">
        <is>
          <t>id (UUID)</t>
        </is>
      </c>
      <c r="D26" s="7" t="inlineStr">
        <is>
          <t>entity_id</t>
        </is>
      </c>
      <c r="E26" s="7" t="inlineStr">
        <is>
          <t>Y</t>
        </is>
      </c>
      <c r="F26" s="7" t="inlineStr">
        <is>
          <t>employee_id → employees</t>
        </is>
      </c>
      <c r="G26" s="7" t="inlineStr">
        <is>
          <t>loan_amount, tenure_months, start_month, balance_remaining.</t>
        </is>
      </c>
    </row>
    <row r="27" ht="14" customHeight="1">
      <c r="A27" s="51" t="inlineStr">
        <is>
          <t>loan_repayments</t>
        </is>
      </c>
      <c r="B27" s="21" t="inlineStr">
        <is>
          <t>HR</t>
        </is>
      </c>
      <c r="C27" s="21" t="inlineStr">
        <is>
          <t>id (UUID)</t>
        </is>
      </c>
      <c r="D27" s="21" t="inlineStr">
        <is>
          <t>via loan_id</t>
        </is>
      </c>
      <c r="E27" s="21" t="inlineStr">
        <is>
          <t>Y</t>
        </is>
      </c>
      <c r="F27" s="21" t="inlineStr">
        <is>
          <t>loan_id → employee_loans</t>
        </is>
      </c>
      <c r="G27" s="21" t="inlineStr">
        <is>
          <t>repayment_month, amount, status.</t>
        </is>
      </c>
    </row>
    <row r="28" ht="14" customHeight="1">
      <c r="A28" s="51" t="inlineStr">
        <is>
          <t>eos_calculations</t>
        </is>
      </c>
      <c r="B28" s="7" t="inlineStr">
        <is>
          <t>HR</t>
        </is>
      </c>
      <c r="C28" s="7" t="inlineStr">
        <is>
          <t>id (UUID)</t>
        </is>
      </c>
      <c r="D28" s="7" t="inlineStr">
        <is>
          <t>entity_id</t>
        </is>
      </c>
      <c r="E28" s="7" t="inlineStr">
        <is>
          <t>Y</t>
        </is>
      </c>
      <c r="F28" s="7" t="inlineStr">
        <is>
          <t>employee_id → employees</t>
        </is>
      </c>
      <c r="G28" s="7" t="inlineStr">
        <is>
          <t>leave_date, leave_reason, years_service, eos_amount (computed).</t>
        </is>
      </c>
    </row>
    <row r="29" ht="14" customHeight="1">
      <c r="A29" s="51" t="inlineStr">
        <is>
          <t>employee_penalties</t>
        </is>
      </c>
      <c r="B29" s="21" t="inlineStr">
        <is>
          <t>HR</t>
        </is>
      </c>
      <c r="C29" s="21" t="inlineStr">
        <is>
          <t>id (UUID)</t>
        </is>
      </c>
      <c r="D29" s="21" t="inlineStr">
        <is>
          <t>entity_id</t>
        </is>
      </c>
      <c r="E29" s="21" t="inlineStr">
        <is>
          <t>Y</t>
        </is>
      </c>
      <c r="F29" s="21" t="inlineStr">
        <is>
          <t>employee_id → employees</t>
        </is>
      </c>
      <c r="G29" s="21" t="inlineStr">
        <is>
          <t>penalty_type, amount, deduction_month.</t>
        </is>
      </c>
    </row>
    <row r="30" ht="14" customHeight="1">
      <c r="A30" s="51" t="inlineStr">
        <is>
          <t>employee_vacations</t>
        </is>
      </c>
      <c r="B30" s="7" t="inlineStr">
        <is>
          <t>HR</t>
        </is>
      </c>
      <c r="C30" s="7" t="inlineStr">
        <is>
          <t>id (UUID)</t>
        </is>
      </c>
      <c r="D30" s="7" t="inlineStr">
        <is>
          <t>entity_id</t>
        </is>
      </c>
      <c r="E30" s="7" t="inlineStr">
        <is>
          <t>Y</t>
        </is>
      </c>
      <c r="F30" s="7" t="inlineStr">
        <is>
          <t>employee_id → employees</t>
        </is>
      </c>
      <c r="G30" s="7" t="inlineStr">
        <is>
          <t>leave_type, start_date, end_date, status.</t>
        </is>
      </c>
    </row>
    <row r="31" ht="14" customHeight="1">
      <c r="A31" s="51" t="inlineStr">
        <is>
          <t>staff_action_records</t>
        </is>
      </c>
      <c r="B31" s="21" t="inlineStr">
        <is>
          <t>HR</t>
        </is>
      </c>
      <c r="C31" s="21" t="inlineStr">
        <is>
          <t>id (UUID)</t>
        </is>
      </c>
      <c r="D31" s="21" t="inlineStr">
        <is>
          <t>entity_id</t>
        </is>
      </c>
      <c r="E31" s="21" t="inlineStr">
        <is>
          <t>Y</t>
        </is>
      </c>
      <c r="F31" s="21" t="inlineStr">
        <is>
          <t>employee_id → employees, transfer_to_dept_id → departments</t>
        </is>
      </c>
      <c r="G31" s="21" t="inlineStr">
        <is>
          <t>action_type, notice_given_date, last_working_day.</t>
        </is>
      </c>
    </row>
    <row r="32" ht="14" customHeight="1">
      <c r="A32" s="51" t="inlineStr">
        <is>
          <t>invoices</t>
        </is>
      </c>
      <c r="B32" s="7" t="inlineStr">
        <is>
          <t>Accounting</t>
        </is>
      </c>
      <c r="C32" s="7" t="inlineStr">
        <is>
          <t>id (UUID)</t>
        </is>
      </c>
      <c r="D32" s="7" t="inlineStr">
        <is>
          <t>entity_id</t>
        </is>
      </c>
      <c r="E32" s="7" t="inlineStr">
        <is>
          <t>Y</t>
        </is>
      </c>
      <c r="F32" s="7" t="inlineStr">
        <is>
          <t>customer_id → customers</t>
        </is>
      </c>
      <c r="G32" s="7" t="inlineStr">
        <is>
          <t>invoice_number (auto), status: DRAFT/POSTED/PAID/CANCELLED. Lines in invoice_lines.</t>
        </is>
      </c>
    </row>
    <row r="33" ht="14" customHeight="1">
      <c r="A33" s="51" t="inlineStr">
        <is>
          <t>invoice_lines</t>
        </is>
      </c>
      <c r="B33" s="21" t="inlineStr">
        <is>
          <t>Accounting</t>
        </is>
      </c>
      <c r="C33" s="21" t="inlineStr">
        <is>
          <t>id (UUID)</t>
        </is>
      </c>
      <c r="D33" s="21" t="inlineStr">
        <is>
          <t>via invoice_id</t>
        </is>
      </c>
      <c r="E33" s="21" t="inlineStr">
        <is>
          <t>Y</t>
        </is>
      </c>
      <c r="F33" s="21" t="inlineStr">
        <is>
          <t>invoice_id → invoices</t>
        </is>
      </c>
      <c r="G33" s="21" t="inlineStr">
        <is>
          <t>description, quantity, unit_price, line_total.</t>
        </is>
      </c>
    </row>
    <row r="34" ht="14" customHeight="1">
      <c r="A34" s="51" t="inlineStr">
        <is>
          <t>payments</t>
        </is>
      </c>
      <c r="B34" s="7" t="inlineStr">
        <is>
          <t>Accounting</t>
        </is>
      </c>
      <c r="C34" s="7" t="inlineStr">
        <is>
          <t>id (UUID)</t>
        </is>
      </c>
      <c r="D34" s="7" t="inlineStr">
        <is>
          <t>entity_id</t>
        </is>
      </c>
      <c r="E34" s="7" t="inlineStr">
        <is>
          <t>Y</t>
        </is>
      </c>
      <c r="F34" s="7" t="inlineStr">
        <is>
          <t>customer_id, contractor_id</t>
        </is>
      </c>
      <c r="G34" s="7" t="inlineStr">
        <is>
          <t>payment_type, method, amount. Allocations in payment_allocations.</t>
        </is>
      </c>
    </row>
    <row r="35" ht="14" customHeight="1">
      <c r="A35" s="51" t="inlineStr">
        <is>
          <t>payment_allocations</t>
        </is>
      </c>
      <c r="B35" s="21" t="inlineStr">
        <is>
          <t>Accounting</t>
        </is>
      </c>
      <c r="C35" s="21" t="inlineStr">
        <is>
          <t>id (UUID)</t>
        </is>
      </c>
      <c r="D35" s="21" t="inlineStr">
        <is>
          <t>via payment_id</t>
        </is>
      </c>
      <c r="E35" s="21" t="inlineStr">
        <is>
          <t>Y</t>
        </is>
      </c>
      <c r="F35" s="21" t="inlineStr">
        <is>
          <t>payment_id → payments, invoice_id → invoices</t>
        </is>
      </c>
      <c r="G35" s="21" t="inlineStr">
        <is>
          <t>allocated_amount.</t>
        </is>
      </c>
    </row>
    <row r="36" ht="14" customHeight="1">
      <c r="A36" s="51" t="inlineStr">
        <is>
          <t>receipts</t>
        </is>
      </c>
      <c r="B36" s="7" t="inlineStr">
        <is>
          <t>Accounting</t>
        </is>
      </c>
      <c r="C36" s="7" t="inlineStr">
        <is>
          <t>id (UUID)</t>
        </is>
      </c>
      <c r="D36" s="7" t="inlineStr">
        <is>
          <t>entity_id</t>
        </is>
      </c>
      <c r="E36" s="7" t="inlineStr">
        <is>
          <t>Y</t>
        </is>
      </c>
      <c r="F36" s="7" t="inlineStr">
        <is>
          <t>contractor_id, customer_id</t>
        </is>
      </c>
      <c r="G36" s="7" t="inlineStr">
        <is>
          <t>received_from, party_type, amount, payment_method.</t>
        </is>
      </c>
    </row>
    <row r="37" ht="14" customHeight="1">
      <c r="A37" s="51" t="inlineStr">
        <is>
          <t>journal_vouchers</t>
        </is>
      </c>
      <c r="B37" s="21" t="inlineStr">
        <is>
          <t>Accounting</t>
        </is>
      </c>
      <c r="C37" s="21" t="inlineStr">
        <is>
          <t>id (UUID)</t>
        </is>
      </c>
      <c r="D37" s="21" t="inlineStr">
        <is>
          <t>entity_id</t>
        </is>
      </c>
      <c r="E37" s="21" t="inlineStr">
        <is>
          <t>Y</t>
        </is>
      </c>
      <c r="F37" s="21" t="inlineStr">
        <is>
          <t>—</t>
        </is>
      </c>
      <c r="G37" s="21" t="inlineStr">
        <is>
          <t>voucher_type, voucher_date, voucher_number (auto). Lines in journal_voucher_lines.</t>
        </is>
      </c>
    </row>
    <row r="38" ht="14" customHeight="1">
      <c r="A38" s="51" t="inlineStr">
        <is>
          <t>journal_voucher_lines</t>
        </is>
      </c>
      <c r="B38" s="7" t="inlineStr">
        <is>
          <t>Accounting</t>
        </is>
      </c>
      <c r="C38" s="7" t="inlineStr">
        <is>
          <t>id (UUID)</t>
        </is>
      </c>
      <c r="D38" s="7" t="inlineStr">
        <is>
          <t>via voucher_id</t>
        </is>
      </c>
      <c r="E38" s="7" t="inlineStr">
        <is>
          <t>Y</t>
        </is>
      </c>
      <c r="F38" s="7" t="inlineStr">
        <is>
          <t>voucher_id → journal_vouchers</t>
        </is>
      </c>
      <c r="G38" s="7" t="inlineStr">
        <is>
          <t>account_code, dr_amount, cr_amount. Dr must = Cr on post.</t>
        </is>
      </c>
    </row>
    <row r="39" ht="14" customHeight="1">
      <c r="A39" s="51" t="inlineStr">
        <is>
          <t>cheques</t>
        </is>
      </c>
      <c r="B39" s="21" t="inlineStr">
        <is>
          <t>Accounting</t>
        </is>
      </c>
      <c r="C39" s="21" t="inlineStr">
        <is>
          <t>id (UUID)</t>
        </is>
      </c>
      <c r="D39" s="21" t="inlineStr">
        <is>
          <t>entity_id</t>
        </is>
      </c>
      <c r="E39" s="21" t="inlineStr">
        <is>
          <t>Y</t>
        </is>
      </c>
      <c r="F39" s="21" t="inlineStr">
        <is>
          <t>—</t>
        </is>
      </c>
      <c r="G39" s="21" t="inlineStr">
        <is>
          <t>cheque_type: ISSUED/RECEIVED, status.</t>
        </is>
      </c>
    </row>
    <row r="40" ht="14" customHeight="1">
      <c r="A40" s="51" t="inlineStr">
        <is>
          <t>fixed_assets</t>
        </is>
      </c>
      <c r="B40" s="7" t="inlineStr">
        <is>
          <t>Accounting</t>
        </is>
      </c>
      <c r="C40" s="7" t="inlineStr">
        <is>
          <t>id (UUID)</t>
        </is>
      </c>
      <c r="D40" s="7" t="inlineStr">
        <is>
          <t>entity_id</t>
        </is>
      </c>
      <c r="E40" s="7" t="inlineStr">
        <is>
          <t>Y</t>
        </is>
      </c>
      <c r="F40" s="7" t="inlineStr">
        <is>
          <t>department → departments</t>
        </is>
      </c>
      <c r="G40" s="7" t="inlineStr">
        <is>
          <t>asset_code, category, depreciation_method. Depreciation run monthly.</t>
        </is>
      </c>
    </row>
    <row r="41" ht="14" customHeight="1">
      <c r="A41" s="51" t="inlineStr">
        <is>
          <t>budgets</t>
        </is>
      </c>
      <c r="B41" s="21" t="inlineStr">
        <is>
          <t>Accounting</t>
        </is>
      </c>
      <c r="C41" s="21" t="inlineStr">
        <is>
          <t>id (UUID)</t>
        </is>
      </c>
      <c r="D41" s="21" t="inlineStr">
        <is>
          <t>entity_id</t>
        </is>
      </c>
      <c r="E41" s="21" t="inlineStr">
        <is>
          <t>Y</t>
        </is>
      </c>
      <c r="F41" s="21" t="inlineStr">
        <is>
          <t>dept_id → departments</t>
        </is>
      </c>
      <c r="G41" s="21" t="inlineStr">
        <is>
          <t>account_code, year, month (null=annual), budgeted_amount.</t>
        </is>
      </c>
    </row>
    <row r="42" ht="14" customHeight="1">
      <c r="A42" s="51" t="inlineStr">
        <is>
          <t>petty_cash_accounts</t>
        </is>
      </c>
      <c r="B42" s="7" t="inlineStr">
        <is>
          <t>Accounting</t>
        </is>
      </c>
      <c r="C42" s="7" t="inlineStr">
        <is>
          <t>id (UUID)</t>
        </is>
      </c>
      <c r="D42" s="7" t="inlineStr">
        <is>
          <t>entity_id</t>
        </is>
      </c>
      <c r="E42" s="7" t="inlineStr">
        <is>
          <t>Y</t>
        </is>
      </c>
      <c r="F42" s="7" t="inlineStr">
        <is>
          <t>department → departments</t>
        </is>
      </c>
      <c r="G42" s="7" t="inlineStr">
        <is>
          <t>account_name, custodian_name, float_limit, gl_account_code.</t>
        </is>
      </c>
    </row>
    <row r="43" ht="14" customHeight="1">
      <c r="A43" s="51" t="inlineStr">
        <is>
          <t>petty_cash_entries</t>
        </is>
      </c>
      <c r="B43" s="21" t="inlineStr">
        <is>
          <t>Accounting</t>
        </is>
      </c>
      <c r="C43" s="21" t="inlineStr">
        <is>
          <t>id (UUID)</t>
        </is>
      </c>
      <c r="D43" s="21" t="inlineStr">
        <is>
          <t>via petty_cash_account_id</t>
        </is>
      </c>
      <c r="E43" s="21" t="inlineStr">
        <is>
          <t>Y</t>
        </is>
      </c>
      <c r="F43" s="21" t="inlineStr">
        <is>
          <t>petty_cash_account_id → petty_cash_accounts</t>
        </is>
      </c>
      <c r="G43" s="21" t="inlineStr">
        <is>
          <t>entry_date, amount, category, receipt_number.</t>
        </is>
      </c>
    </row>
    <row r="44" ht="14" customHeight="1">
      <c r="A44" s="51" t="inlineStr">
        <is>
          <t>settings</t>
        </is>
      </c>
      <c r="B44" s="7" t="inlineStr">
        <is>
          <t>Admin</t>
        </is>
      </c>
      <c r="C44" s="7" t="inlineStr">
        <is>
          <t>id (UUID)</t>
        </is>
      </c>
      <c r="D44" s="7" t="inlineStr">
        <is>
          <t>entity_id</t>
        </is>
      </c>
      <c r="E44" s="7" t="inlineStr">
        <is>
          <t>Y</t>
        </is>
      </c>
      <c r="F44" s="7" t="inlineStr">
        <is>
          <t>—</t>
        </is>
      </c>
      <c r="G44" s="7" t="inlineStr">
        <is>
          <t>One row per entity. company_name_en, vat_number, payroll_cutoff_day, etc.</t>
        </is>
      </c>
    </row>
    <row r="45" ht="14" customHeight="1">
      <c r="A45" s="51" t="inlineStr">
        <is>
          <t>chart_of_accounts</t>
        </is>
      </c>
      <c r="B45" s="21" t="inlineStr">
        <is>
          <t>Accounting</t>
        </is>
      </c>
      <c r="C45" s="21" t="inlineStr">
        <is>
          <t>account_code (string)</t>
        </is>
      </c>
      <c r="D45" s="21" t="inlineStr">
        <is>
          <t>entity_id</t>
        </is>
      </c>
      <c r="E45" s="21" t="inlineStr">
        <is>
          <t>Y</t>
        </is>
      </c>
      <c r="F45" s="21" t="inlineStr">
        <is>
          <t>—</t>
        </is>
      </c>
      <c r="G45" s="21" t="inlineStr">
        <is>
          <t>account_name, account_type (ASSET/LIABILITY/EQUITY/REVENUE/EXPENSE), parent_code.</t>
        </is>
      </c>
    </row>
    <row r="46" ht="14" customHeight="1">
      <c r="A46" s="51" t="inlineStr">
        <is>
          <t>field_site_statuses</t>
        </is>
      </c>
      <c r="B46" s="7" t="inlineStr">
        <is>
          <t>Field Portal</t>
        </is>
      </c>
      <c r="C46" s="7" t="inlineStr">
        <is>
          <t>id (UUID)</t>
        </is>
      </c>
      <c r="D46" s="7" t="inlineStr">
        <is>
          <t>entity_id</t>
        </is>
      </c>
      <c r="E46" s="7" t="inlineStr">
        <is>
          <t>Y</t>
        </is>
      </c>
      <c r="F46" s="7" t="inlineStr">
        <is>
          <t>employee_id</t>
        </is>
      </c>
      <c r="G46" s="7" t="inlineStr">
        <is>
          <t>checked (JSON map), photo_url, notes.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2026-07-26T11:14:47Z</dcterms:created>
  <dcterms:modified xmlns:dcterms="http://purl.org/dc/terms/" xmlns:xsi="http://www.w3.org/2001/XMLSchema-instance" xsi:type="dcterms:W3CDTF">2026-07-26T11:29:28Z</dcterms:modified>
</cp:coreProperties>
</file>